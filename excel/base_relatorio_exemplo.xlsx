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atriz.lehmann\Downloads\GIT\gerador-relatorio-carteira-renda-fixa\excel\"/>
    </mc:Choice>
  </mc:AlternateContent>
  <xr:revisionPtr revIDLastSave="0" documentId="11_A357C8CBAA80958D7C50FC654F408122D1160BA1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IAME" sheetId="1" r:id="rId1"/>
    <sheet name="Resumo" sheetId="2" r:id="rId2"/>
    <sheet name="Conferencias" sheetId="3" r:id="rId3"/>
    <sheet name="Base" sheetId="4" r:id="rId4"/>
    <sheet name="Config" sheetId="5" r:id="rId5"/>
    <sheet name="Cadastros" sheetId="6" r:id="rId6"/>
    <sheet name="Indicadores" sheetId="7" r:id="rId7"/>
    <sheet name="Log" sheetId="8" r:id="rId8"/>
  </sheets>
  <definedNames>
    <definedName name="_xlnm.Print_Area" localSheetId="2">Conferencias!$A$1:$E$19</definedName>
    <definedName name="_xlnm.Print_Area" localSheetId="1">Resumo!$A$1:$G$73</definedName>
    <definedName name="cad_Fontes">Cadastros!$E$2:$E$4</definedName>
    <definedName name="cad_Inst">Cadastros!$A$2:$A$200</definedName>
    <definedName name="cad_Meses">Cadastros!$G$2:$G$500</definedName>
    <definedName name="cad_Mod">Cadastros!$C$2:$C$200</definedName>
    <definedName name="col_Ap">Base!$P$2:$P$50000</definedName>
    <definedName name="col_Data">Base!$A$2:$A$50000</definedName>
    <definedName name="col_Fonte">Base!$C$2:$C$50000</definedName>
    <definedName name="col_ID">Base!$B$2:$B$50000</definedName>
    <definedName name="col_Inst">Base!$E$2:$E$50000</definedName>
    <definedName name="col_IOFR">Base!$V$2:$V$50000</definedName>
    <definedName name="col_IRP">Base!$W$2:$W$50000</definedName>
    <definedName name="col_IRR">Base!$U$2:$U$50000</definedName>
    <definedName name="col_Jur">Base!$R$2:$R$50000</definedName>
    <definedName name="col_Mod">Base!$F$2:$F$50000</definedName>
    <definedName name="col_Mov">Base!$BA$2:$BA$50000</definedName>
    <definedName name="col_Rend">Base!$S$2:$S$50000</definedName>
    <definedName name="col_Res">Base!$Q$2:$Q$50000</definedName>
    <definedName name="col_SA">Base!$O$2:$O$50000</definedName>
    <definedName name="col_SF">Base!$T$2:$T$50000</definedName>
    <definedName name="col_SMed">Base!$BB$2:$BB$50000</definedName>
    <definedName name="ind_CDI">Indicadores!$B$2:$B$500</definedName>
    <definedName name="ind_IPCA">Indicadores!$C$2:$C$500</definedName>
    <definedName name="ind_Mes">Indicadores!$A$2:$A$500</definedName>
    <definedName name="ind_Orig">Indicadores!$D$2:$D$500</definedName>
    <definedName name="LimiteConc">Config!$B$4</definedName>
    <definedName name="MesAnt">Config!$B$9</definedName>
    <definedName name="MesRef">Config!$B$3</definedName>
    <definedName name="MetaCDI">Config!$B$5</definedName>
    <definedName name="PastaPDF">Config!$B$7</definedName>
    <definedName name="QtdAlertas">Conferencias!$C$4</definedName>
    <definedName name="QtdErros">Conferencias!$C$3</definedName>
    <definedName name="StatusRelatorio">Config!$B$8</definedName>
    <definedName name="TolContinuidade">Config!$B$6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BB85" i="4"/>
  <c r="BA85" i="4"/>
  <c r="BB84" i="4"/>
  <c r="BA84" i="4"/>
  <c r="BB83" i="4"/>
  <c r="BA83" i="4"/>
  <c r="BB82" i="4"/>
  <c r="BA82" i="4"/>
  <c r="BB81" i="4"/>
  <c r="BA81" i="4"/>
  <c r="BB80" i="4"/>
  <c r="BA80" i="4"/>
  <c r="BB79" i="4"/>
  <c r="BA79" i="4"/>
  <c r="BB78" i="4"/>
  <c r="BA78" i="4"/>
  <c r="BB77" i="4"/>
  <c r="BA77" i="4"/>
  <c r="BB76" i="4"/>
  <c r="BA76" i="4"/>
  <c r="BB75" i="4"/>
  <c r="BA75" i="4"/>
  <c r="BB74" i="4"/>
  <c r="BA74" i="4"/>
  <c r="BB73" i="4"/>
  <c r="BA73" i="4"/>
  <c r="BB72" i="4"/>
  <c r="BA72" i="4"/>
  <c r="BB71" i="4"/>
  <c r="BA71" i="4"/>
  <c r="BB70" i="4"/>
  <c r="BA70" i="4"/>
  <c r="BB69" i="4"/>
  <c r="BA69" i="4"/>
  <c r="BB68" i="4"/>
  <c r="BA68" i="4"/>
  <c r="BB67" i="4"/>
  <c r="BA67" i="4"/>
  <c r="BB66" i="4"/>
  <c r="BA66" i="4"/>
  <c r="BB65" i="4"/>
  <c r="BA65" i="4"/>
  <c r="BB64" i="4"/>
  <c r="BA64" i="4"/>
  <c r="BB63" i="4"/>
  <c r="BA63" i="4"/>
  <c r="BB62" i="4"/>
  <c r="BA62" i="4"/>
  <c r="BB61" i="4"/>
  <c r="BA61" i="4"/>
  <c r="BB60" i="4"/>
  <c r="BA60" i="4"/>
  <c r="BB59" i="4"/>
  <c r="BA59" i="4"/>
  <c r="BB58" i="4"/>
  <c r="BA58" i="4"/>
  <c r="BB57" i="4"/>
  <c r="BA57" i="4"/>
  <c r="BB56" i="4"/>
  <c r="BA56" i="4"/>
  <c r="BB55" i="4"/>
  <c r="BA55" i="4"/>
  <c r="BB54" i="4"/>
  <c r="BA54" i="4"/>
  <c r="BB53" i="4"/>
  <c r="BA53" i="4"/>
  <c r="BB52" i="4"/>
  <c r="BA52" i="4"/>
  <c r="BB51" i="4"/>
  <c r="BA51" i="4"/>
  <c r="BB50" i="4"/>
  <c r="BA50" i="4"/>
  <c r="BB49" i="4"/>
  <c r="BA49" i="4"/>
  <c r="BB48" i="4"/>
  <c r="BA48" i="4"/>
  <c r="BB47" i="4"/>
  <c r="BA47" i="4"/>
  <c r="BB46" i="4"/>
  <c r="BA46" i="4"/>
  <c r="BB45" i="4"/>
  <c r="BA45" i="4"/>
  <c r="BB44" i="4"/>
  <c r="BA44" i="4"/>
  <c r="BB43" i="4"/>
  <c r="BA43" i="4"/>
  <c r="BB42" i="4"/>
  <c r="BA42" i="4"/>
  <c r="BB41" i="4"/>
  <c r="BA41" i="4"/>
  <c r="BB40" i="4"/>
  <c r="BA40" i="4"/>
  <c r="BB39" i="4"/>
  <c r="BA39" i="4"/>
  <c r="BB38" i="4"/>
  <c r="BA38" i="4"/>
  <c r="BB37" i="4"/>
  <c r="BA37" i="4"/>
  <c r="BB36" i="4"/>
  <c r="BA36" i="4"/>
  <c r="BB35" i="4"/>
  <c r="BA35" i="4"/>
  <c r="BB34" i="4"/>
  <c r="BA34" i="4"/>
  <c r="BB33" i="4"/>
  <c r="BA33" i="4"/>
  <c r="BB32" i="4"/>
  <c r="BA32" i="4"/>
  <c r="BB31" i="4"/>
  <c r="BA31" i="4"/>
  <c r="BB30" i="4"/>
  <c r="BA30" i="4"/>
  <c r="BB29" i="4"/>
  <c r="BA29" i="4"/>
  <c r="BB28" i="4"/>
  <c r="BA28" i="4"/>
  <c r="BB27" i="4"/>
  <c r="BA27" i="4"/>
  <c r="BB26" i="4"/>
  <c r="BA26" i="4"/>
  <c r="BB25" i="4"/>
  <c r="BA25" i="4"/>
  <c r="BB24" i="4"/>
  <c r="BA24" i="4"/>
  <c r="BB23" i="4"/>
  <c r="BA23" i="4"/>
  <c r="BB22" i="4"/>
  <c r="BA22" i="4"/>
  <c r="BB21" i="4"/>
  <c r="BA21" i="4"/>
  <c r="BB20" i="4"/>
  <c r="BA20" i="4"/>
  <c r="BB19" i="4"/>
  <c r="BA19" i="4"/>
  <c r="BB18" i="4"/>
  <c r="BA18" i="4"/>
  <c r="BB17" i="4"/>
  <c r="BA17" i="4"/>
  <c r="BB16" i="4"/>
  <c r="BA16" i="4"/>
  <c r="BB15" i="4"/>
  <c r="BA15" i="4"/>
  <c r="BB14" i="4"/>
  <c r="BA14" i="4"/>
  <c r="BB13" i="4"/>
  <c r="BA13" i="4"/>
  <c r="BB12" i="4"/>
  <c r="BA12" i="4"/>
  <c r="BB11" i="4"/>
  <c r="BA11" i="4"/>
  <c r="BB10" i="4"/>
  <c r="BA10" i="4"/>
  <c r="BB9" i="4"/>
  <c r="BA9" i="4"/>
  <c r="BB8" i="4"/>
  <c r="BA8" i="4"/>
  <c r="BB7" i="4"/>
  <c r="BA7" i="4"/>
  <c r="BB6" i="4"/>
  <c r="BA6" i="4"/>
  <c r="BB5" i="4"/>
  <c r="BA5" i="4"/>
  <c r="BB4" i="4"/>
  <c r="BA4" i="4"/>
  <c r="BB3" i="4"/>
  <c r="BA3" i="4"/>
  <c r="BB2" i="4"/>
  <c r="BA2" i="4"/>
  <c r="C19" i="3"/>
  <c r="E19" i="3" s="1"/>
  <c r="C17" i="3"/>
  <c r="E17" i="3" s="1"/>
  <c r="C16" i="3"/>
  <c r="E16" i="3" s="1"/>
  <c r="C14" i="3"/>
  <c r="E14" i="3" s="1"/>
  <c r="C13" i="3"/>
  <c r="E13" i="3" s="1"/>
  <c r="C12" i="3"/>
  <c r="E12" i="3" s="1"/>
  <c r="C11" i="3"/>
  <c r="E11" i="3" s="1"/>
  <c r="C10" i="3"/>
  <c r="E10" i="3" s="1"/>
  <c r="C9" i="3"/>
  <c r="E9" i="3" s="1"/>
  <c r="C8" i="3"/>
  <c r="E8" i="3" s="1"/>
  <c r="A58" i="2"/>
  <c r="A57" i="2"/>
  <c r="A56" i="2"/>
  <c r="A55" i="2"/>
  <c r="A54" i="2"/>
  <c r="A53" i="2"/>
  <c r="A52" i="2"/>
  <c r="A51" i="2"/>
  <c r="A50" i="2"/>
  <c r="A49" i="2"/>
  <c r="F44" i="2"/>
  <c r="E44" i="2"/>
  <c r="A44" i="2"/>
  <c r="A43" i="2"/>
  <c r="A42" i="2"/>
  <c r="A41" i="2"/>
  <c r="A40" i="2"/>
  <c r="A39" i="2"/>
  <c r="A38" i="2"/>
  <c r="A37" i="2"/>
  <c r="A36" i="2"/>
  <c r="A35" i="2"/>
  <c r="A30" i="2"/>
  <c r="A29" i="2"/>
  <c r="A28" i="2"/>
  <c r="C18" i="2"/>
  <c r="B18" i="2"/>
  <c r="D18" i="2" s="1"/>
  <c r="B16" i="2"/>
  <c r="B14" i="2"/>
  <c r="B13" i="2"/>
  <c r="B12" i="2"/>
  <c r="C11" i="2"/>
  <c r="B11" i="2"/>
  <c r="C10" i="2"/>
  <c r="B10" i="2"/>
  <c r="D10" i="2" s="1"/>
  <c r="C9" i="2"/>
  <c r="B9" i="2"/>
  <c r="D9" i="2" s="1"/>
  <c r="C8" i="2"/>
  <c r="B8" i="2"/>
  <c r="D8" i="2" s="1"/>
  <c r="C7" i="2"/>
  <c r="B7" i="2"/>
  <c r="D7" i="2" s="1"/>
  <c r="A3" i="2"/>
  <c r="A2" i="2"/>
  <c r="C18" i="3" l="1"/>
  <c r="E18" i="3" s="1"/>
  <c r="C15" i="3"/>
  <c r="E15" i="3" s="1"/>
  <c r="C13" i="2"/>
  <c r="D13" i="2" s="1"/>
  <c r="C12" i="2"/>
  <c r="D12" i="2" s="1"/>
  <c r="C14" i="2"/>
  <c r="C15" i="2" s="1"/>
  <c r="C16" i="2"/>
  <c r="C58" i="2"/>
  <c r="B58" i="2"/>
  <c r="C57" i="2"/>
  <c r="B57" i="2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C50" i="2"/>
  <c r="B50" i="2"/>
  <c r="B49" i="2"/>
  <c r="C49" i="2" s="1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D39" i="2"/>
  <c r="B39" i="2"/>
  <c r="C39" i="2" s="1"/>
  <c r="F39" i="2" s="1"/>
  <c r="D38" i="2"/>
  <c r="B38" i="2"/>
  <c r="C38" i="2" s="1"/>
  <c r="F38" i="2" s="1"/>
  <c r="D37" i="2"/>
  <c r="B37" i="2"/>
  <c r="C37" i="2" s="1"/>
  <c r="F37" i="2" s="1"/>
  <c r="D36" i="2"/>
  <c r="B36" i="2"/>
  <c r="C36" i="2" s="1"/>
  <c r="F36" i="2" s="1"/>
  <c r="D35" i="2"/>
  <c r="B35" i="2"/>
  <c r="C35" i="2" s="1"/>
  <c r="F35" i="2" s="1"/>
  <c r="A63" i="2" s="1"/>
  <c r="B30" i="2"/>
  <c r="C30" i="2" s="1"/>
  <c r="D30" i="2"/>
  <c r="D29" i="2"/>
  <c r="B29" i="2"/>
  <c r="C29" i="2" s="1"/>
  <c r="D28" i="2"/>
  <c r="D31" i="2" s="1"/>
  <c r="B28" i="2"/>
  <c r="B23" i="2"/>
  <c r="D14" i="2"/>
  <c r="B22" i="2"/>
  <c r="D11" i="2"/>
  <c r="B15" i="2"/>
  <c r="D16" i="2" l="1"/>
  <c r="C19" i="2"/>
  <c r="C28" i="2"/>
  <c r="C31" i="2" s="1"/>
  <c r="B31" i="2"/>
  <c r="B24" i="2"/>
  <c r="A62" i="2"/>
  <c r="D15" i="2"/>
  <c r="B17" i="2"/>
  <c r="C17" i="2"/>
  <c r="C3" i="3"/>
  <c r="C4" i="3"/>
  <c r="E39" i="2"/>
  <c r="E38" i="2"/>
  <c r="E37" i="2"/>
  <c r="E36" i="2"/>
  <c r="E35" i="2"/>
  <c r="D17" i="2" l="1"/>
  <c r="B19" i="2"/>
  <c r="A61" i="2"/>
  <c r="A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Modelo</author>
  </authors>
  <commentList>
    <comment ref="B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Coluna auxiliar: saldo final menos a movimentação calculada. Fundos com saldo líquido de IR (coluna AK = S) descontam o IR/IOF retido.</t>
        </r>
      </text>
    </comment>
  </commentList>
</comments>
</file>

<file path=xl/sharedStrings.xml><?xml version="1.0" encoding="utf-8"?>
<sst xmlns="http://schemas.openxmlformats.org/spreadsheetml/2006/main" count="2042" uniqueCount="362">
  <si>
    <t>Gerador de Relatório Executivo de Carteira de Renda Fixa — ARQUIVO DE EXEMPLO</t>
  </si>
  <si>
    <t>Todos os dados deste arquivo são FICTÍCIOS e servem apenas para demonstração.</t>
  </si>
  <si>
    <t>Como usar:</t>
  </si>
  <si>
    <t>1. Salve este arquivo como 'Pasta de Trabalho Habilitada para Macro (*.xlsm)'.</t>
  </si>
  <si>
    <t>2. Abra o editor VBA (Alt+F11), selecione ESTE arquivo no painel e importe os 3 módulos da pasta /vba.</t>
  </si>
  <si>
    <t>3. Execute a macro CriarBotoes (Alt+F8) uma única vez para criar os botões na aba Resumo.</t>
  </si>
  <si>
    <t>4. Clique em 'Importar mês' e escolha exemplos/planilha_mensal_2025-04_data_fim_de_semana.xlsx.</t>
  </si>
  <si>
    <t>5. Veja a aba Conferencias: deve aparecer ALERTA de data-base em fim de semana (não bloqueia o PDF).</t>
  </si>
  <si>
    <t>6. Importe exemplos/planilha_mensal_2025-05_com_erro.xlsx: deve aparecer ERRO (instituição não cadastrada).</t>
  </si>
  <si>
    <t>7. Clique em 'Gerar PDF'. Com ERRO, a macro só permite gerar a versão PRELIMINAR.</t>
  </si>
  <si>
    <t>Células com fundo amarelo e fonte azul são entradas manuais. As demais são fórmulas: não sobrescreva.</t>
  </si>
  <si>
    <t>A macro NÃO salva a base automaticamente: revise e salve manualmente após cada importação.</t>
  </si>
  <si>
    <t>Relatório Executivo de Investimentos</t>
  </si>
  <si>
    <t>1. Resultado do mês</t>
  </si>
  <si>
    <t>Indicador</t>
  </si>
  <si>
    <t>Mês de referência</t>
  </si>
  <si>
    <t>Mês anterior</t>
  </si>
  <si>
    <t>Variação</t>
  </si>
  <si>
    <t>Saldo final total</t>
  </si>
  <si>
    <t>Aplicações</t>
  </si>
  <si>
    <t>Resgates</t>
  </si>
  <si>
    <t>Juros recebidos</t>
  </si>
  <si>
    <t>Rendimento bruto</t>
  </si>
  <si>
    <t>IR/IOF retido na cota</t>
  </si>
  <si>
    <t>IR provisionado</t>
  </si>
  <si>
    <t>Saldo médio (média simples)</t>
  </si>
  <si>
    <t>Rentabilidade do mês</t>
  </si>
  <si>
    <t>CDI do mês</t>
  </si>
  <si>
    <t>Rentabilidade em % do CDI</t>
  </si>
  <si>
    <t>Meta (% do CDI)</t>
  </si>
  <si>
    <t>Situação da meta</t>
  </si>
  <si>
    <t>2. Variação do rendimento: efeito volume × efeito taxa</t>
  </si>
  <si>
    <t>Variação do rendimento bruto</t>
  </si>
  <si>
    <t>Efeito volume = (saldo médio atual − anterior) × taxa anterior</t>
  </si>
  <si>
    <t>Efeito taxa = variação − efeito volume</t>
  </si>
  <si>
    <t>3. Distribuição por fonte de recursos</t>
  </si>
  <si>
    <t>Fonte</t>
  </si>
  <si>
    <t>Saldo final</t>
  </si>
  <si>
    <t>Participação</t>
  </si>
  <si>
    <t>Total</t>
  </si>
  <si>
    <t>4. Concentração por instituição</t>
  </si>
  <si>
    <t>Instituição</t>
  </si>
  <si>
    <t>Limite</t>
  </si>
  <si>
    <t>Margem</t>
  </si>
  <si>
    <t>Situação</t>
  </si>
  <si>
    <t>“Atenção” indica participação acima do limite parametrizado; não equivale a não conformidade confirmada.</t>
  </si>
  <si>
    <t>5. Distribuição por modalidade</t>
  </si>
  <si>
    <t>Modalidade</t>
  </si>
  <si>
    <t>6. Pontos de atenção (gerados por fórmula)</t>
  </si>
  <si>
    <t>7. Comentário da analista (preenchimento manual)</t>
  </si>
  <si>
    <t>Digite aqui a análise do mês antes de gerar o PDF.</t>
  </si>
  <si>
    <t>Relatório gerado a partir de dados fictícios. Validação humana obrigatória antes de qualquer uso formal.</t>
  </si>
  <si>
    <t>Conferências de qualidade dos dados</t>
  </si>
  <si>
    <t>Quantidade de ERROS (bloqueiam o PDF final)</t>
  </si>
  <si>
    <t>Quantidade de ALERTAS (não bloqueiam)</t>
  </si>
  <si>
    <t>#</t>
  </si>
  <si>
    <t>Conferência</t>
  </si>
  <si>
    <t>Resultado</t>
  </si>
  <si>
    <t>Critério</t>
  </si>
  <si>
    <t>Status</t>
  </si>
  <si>
    <t>Mês de referência cadastrado</t>
  </si>
  <si>
    <t>Deve ser ≥ 1</t>
  </si>
  <si>
    <t>Linhas do mês na base</t>
  </si>
  <si>
    <t>Deve ser &gt; 0</t>
  </si>
  <si>
    <t>Linhas sem instituição ou modalidade</t>
  </si>
  <si>
    <t>Deve ser 0</t>
  </si>
  <si>
    <t>Soma por fonte × total (diferença R$)</t>
  </si>
  <si>
    <t>Deve ser 0,00</t>
  </si>
  <si>
    <t>Instituições não cadastradas (linhas)</t>
  </si>
  <si>
    <t>Modalidades não cadastradas (linhas)</t>
  </si>
  <si>
    <t>Linhas com movimentação que não fecha</t>
  </si>
  <si>
    <t>Deve ser 0 (tolerância R$ 0,01)</t>
  </si>
  <si>
    <t>Continuidade do saldo (diferença R$)</t>
  </si>
  <si>
    <t>Até a tolerância da aba Config</t>
  </si>
  <si>
    <t>Data-base original em dia útil</t>
  </si>
  <si>
    <t>Segunda a sexta (feriados não considerados)</t>
  </si>
  <si>
    <t>Aplicações com rendimento negativo</t>
  </si>
  <si>
    <t>Esperado 0</t>
  </si>
  <si>
    <t>Mês anterior disponível na base</t>
  </si>
  <si>
    <t>CDI do mês disponível</t>
  </si>
  <si>
    <t>Deve estar preenchido</t>
  </si>
  <si>
    <t>Data_Base</t>
  </si>
  <si>
    <t>ID_Aplicacao</t>
  </si>
  <si>
    <t>Centro_Custo</t>
  </si>
  <si>
    <t>Instituicao</t>
  </si>
  <si>
    <t>Produto</t>
  </si>
  <si>
    <t>Indexador</t>
  </si>
  <si>
    <t>Perc_CDI_Contratado</t>
  </si>
  <si>
    <t>Taxa_Prefixada</t>
  </si>
  <si>
    <t>Data_Aplicacao</t>
  </si>
  <si>
    <t>Data_Vencimento</t>
  </si>
  <si>
    <t>Liquidez</t>
  </si>
  <si>
    <t>Classificacao</t>
  </si>
  <si>
    <t>Saldo_Anterior</t>
  </si>
  <si>
    <t>Aplicacoes</t>
  </si>
  <si>
    <t>Juros_Recebidos</t>
  </si>
  <si>
    <t>Rendimento_Bruto</t>
  </si>
  <si>
    <t>Saldo_Final</t>
  </si>
  <si>
    <t>IR_Retido</t>
  </si>
  <si>
    <t>IOF_Retido</t>
  </si>
  <si>
    <t>IR_Provisionado</t>
  </si>
  <si>
    <t>IOF_Provisionado</t>
  </si>
  <si>
    <t>Saldo_Liquido</t>
  </si>
  <si>
    <t>Rentab_Mes</t>
  </si>
  <si>
    <t>Rentab_Perc_CDI</t>
  </si>
  <si>
    <t>Rentab_Ano</t>
  </si>
  <si>
    <t>Rentab_12m</t>
  </si>
  <si>
    <t>CDI_Mes</t>
  </si>
  <si>
    <t>CDI_Ano</t>
  </si>
  <si>
    <t>CDI_12m</t>
  </si>
  <si>
    <t>IPCA_Mes</t>
  </si>
  <si>
    <t>Dias_Uteis_Mes</t>
  </si>
  <si>
    <t>Prazo_Dias</t>
  </si>
  <si>
    <t>Faixa_Vencimento</t>
  </si>
  <si>
    <t>Saldo_Liquido_de_IR</t>
  </si>
  <si>
    <t>Aliquota_IR</t>
  </si>
  <si>
    <t>Isento_IR</t>
  </si>
  <si>
    <t>Garantia_FGC</t>
  </si>
  <si>
    <t>Rating_Emissor</t>
  </si>
  <si>
    <t>Emissor</t>
  </si>
  <si>
    <t>Custodiante</t>
  </si>
  <si>
    <t>Conta_Referencia</t>
  </si>
  <si>
    <t>Tipo_Resgate</t>
  </si>
  <si>
    <t>Carencia_Dias</t>
  </si>
  <si>
    <t>Enquadramento</t>
  </si>
  <si>
    <t>Observacao</t>
  </si>
  <si>
    <t>Area_Responsavel</t>
  </si>
  <si>
    <t>Data_Atualizacao</t>
  </si>
  <si>
    <t>Chave_Unica</t>
  </si>
  <si>
    <t>Mov_Diferenca</t>
  </si>
  <si>
    <t>Saldo_Medio</t>
  </si>
  <si>
    <t>APL-001</t>
  </si>
  <si>
    <t>Financiamento de Base</t>
  </si>
  <si>
    <t>CC-002</t>
  </si>
  <si>
    <t>Banco Alfa</t>
  </si>
  <si>
    <t>LCA</t>
  </si>
  <si>
    <t>LCA Banco Alfa</t>
  </si>
  <si>
    <t>CDI</t>
  </si>
  <si>
    <t>No vencimento</t>
  </si>
  <si>
    <t>Longo prazo</t>
  </si>
  <si>
    <t>Acima de 360 dias</t>
  </si>
  <si>
    <t>N</t>
  </si>
  <si>
    <t>S</t>
  </si>
  <si>
    <t>AAA</t>
  </si>
  <si>
    <t>Custodiante Ficticio</t>
  </si>
  <si>
    <t>CT-001</t>
  </si>
  <si>
    <t>Autorizado</t>
  </si>
  <si>
    <t>Financeiro</t>
  </si>
  <si>
    <t>Ativa</t>
  </si>
  <si>
    <t>APL-001-202501</t>
  </si>
  <si>
    <t>APL-002</t>
  </si>
  <si>
    <t>Recursos Proprios</t>
  </si>
  <si>
    <t>CC-009</t>
  </si>
  <si>
    <t>Banco Epsilon</t>
  </si>
  <si>
    <t>LCA Banco Epsilon</t>
  </si>
  <si>
    <t>Curto prazo</t>
  </si>
  <si>
    <t>Ate 90 dias</t>
  </si>
  <si>
    <t>AA</t>
  </si>
  <si>
    <t>CT-002</t>
  </si>
  <si>
    <t>APL-002-202501</t>
  </si>
  <si>
    <t>APL-003</t>
  </si>
  <si>
    <t>CC-007</t>
  </si>
  <si>
    <t>Banco Beta</t>
  </si>
  <si>
    <t>Tesouro IPCA+</t>
  </si>
  <si>
    <t>Tesouro IPCA+ Banco Beta</t>
  </si>
  <si>
    <t>IPCA</t>
  </si>
  <si>
    <t>CT-003</t>
  </si>
  <si>
    <t>APL-003-202501</t>
  </si>
  <si>
    <t>APL-004</t>
  </si>
  <si>
    <t>Recursos de Terceiros</t>
  </si>
  <si>
    <t>CC-005</t>
  </si>
  <si>
    <t>Tesouro Selic</t>
  </si>
  <si>
    <t>Tesouro Selic Banco Alfa</t>
  </si>
  <si>
    <t>91 a 360 dias</t>
  </si>
  <si>
    <t>CT-004</t>
  </si>
  <si>
    <t>APL-004-202501</t>
  </si>
  <si>
    <t>APL-005</t>
  </si>
  <si>
    <t>CC-004</t>
  </si>
  <si>
    <t>Cooperativa Delta</t>
  </si>
  <si>
    <t>LCA Cooperativa Delta</t>
  </si>
  <si>
    <t>CT-005</t>
  </si>
  <si>
    <t>APL-005-202501</t>
  </si>
  <si>
    <t>APL-006</t>
  </si>
  <si>
    <t>Banco Gama</t>
  </si>
  <si>
    <t>Fundo DI</t>
  </si>
  <si>
    <t>Fundo DI Banco Gama</t>
  </si>
  <si>
    <t>Diaria</t>
  </si>
  <si>
    <t>Liquidez diaria</t>
  </si>
  <si>
    <t>CT-006</t>
  </si>
  <si>
    <t>D+0</t>
  </si>
  <si>
    <t>APL-006-202501</t>
  </si>
  <si>
    <t>APL-007</t>
  </si>
  <si>
    <t>Tesouro Selic Banco Beta</t>
  </si>
  <si>
    <t>CT-007</t>
  </si>
  <si>
    <t>APL-007-202501</t>
  </si>
  <si>
    <t>APL-008</t>
  </si>
  <si>
    <t>Fundo DI Banco Beta</t>
  </si>
  <si>
    <t>AA+</t>
  </si>
  <si>
    <t>CT-008</t>
  </si>
  <si>
    <t>APL-008-202501</t>
  </si>
  <si>
    <t>APL-009</t>
  </si>
  <si>
    <t>CDB</t>
  </si>
  <si>
    <t>CDB Banco Beta</t>
  </si>
  <si>
    <t>CT-009</t>
  </si>
  <si>
    <t>APL-009-202501</t>
  </si>
  <si>
    <t>APL-010</t>
  </si>
  <si>
    <t>CT-010</t>
  </si>
  <si>
    <t>APL-010-202501</t>
  </si>
  <si>
    <t>APL-011</t>
  </si>
  <si>
    <t>CC-006</t>
  </si>
  <si>
    <t>Fundo Aplic. Automatica</t>
  </si>
  <si>
    <t>Fundo Aplic. Automatica Banco Epsilon</t>
  </si>
  <si>
    <t>CT-011</t>
  </si>
  <si>
    <t>APL-011-202501</t>
  </si>
  <si>
    <t>APL-012</t>
  </si>
  <si>
    <t>CC-003</t>
  </si>
  <si>
    <t>Compromissada</t>
  </si>
  <si>
    <t>Compromissada Banco Alfa</t>
  </si>
  <si>
    <t>CT-012</t>
  </si>
  <si>
    <t>APL-012-202501</t>
  </si>
  <si>
    <t>APL-013</t>
  </si>
  <si>
    <t>Tesouro IPCA+ Banco Epsilon</t>
  </si>
  <si>
    <t>CT-013</t>
  </si>
  <si>
    <t>APL-013-202501</t>
  </si>
  <si>
    <t>APL-014</t>
  </si>
  <si>
    <t>CDB Banco Alfa</t>
  </si>
  <si>
    <t>CT-014</t>
  </si>
  <si>
    <t>APL-014-202501</t>
  </si>
  <si>
    <t>APL-015</t>
  </si>
  <si>
    <t>CT-015</t>
  </si>
  <si>
    <t>APL-015-202501</t>
  </si>
  <si>
    <t>APL-016</t>
  </si>
  <si>
    <t>CT-016</t>
  </si>
  <si>
    <t>APL-016-202501</t>
  </si>
  <si>
    <t>APL-017</t>
  </si>
  <si>
    <t>CDB Banco Epsilon</t>
  </si>
  <si>
    <t>CT-017</t>
  </si>
  <si>
    <t>APL-017-202501</t>
  </si>
  <si>
    <t>APL-018</t>
  </si>
  <si>
    <t>CT-018</t>
  </si>
  <si>
    <t>APL-018-202501</t>
  </si>
  <si>
    <t>APL-019</t>
  </si>
  <si>
    <t>LCI</t>
  </si>
  <si>
    <t>LCI Banco Gama</t>
  </si>
  <si>
    <t>CT-019</t>
  </si>
  <si>
    <t>APL-019-202501</t>
  </si>
  <si>
    <t>APL-020</t>
  </si>
  <si>
    <t>Tesouro Selic Cooperativa Delta</t>
  </si>
  <si>
    <t>CT-020</t>
  </si>
  <si>
    <t>APL-020-202501</t>
  </si>
  <si>
    <t>APL-021</t>
  </si>
  <si>
    <t>CC-001</t>
  </si>
  <si>
    <t>Fundo DI Banco Alfa</t>
  </si>
  <si>
    <t>CT-021</t>
  </si>
  <si>
    <t>APL-021-202501</t>
  </si>
  <si>
    <t>APL-022</t>
  </si>
  <si>
    <t>CT-022</t>
  </si>
  <si>
    <t>APL-022-202501</t>
  </si>
  <si>
    <t>APL-023</t>
  </si>
  <si>
    <t>Compromissada Banco Beta</t>
  </si>
  <si>
    <t>CT-023</t>
  </si>
  <si>
    <t>APL-023-202501</t>
  </si>
  <si>
    <t>APL-024</t>
  </si>
  <si>
    <t>CT-024</t>
  </si>
  <si>
    <t>APL-024-202501</t>
  </si>
  <si>
    <t>APL-025</t>
  </si>
  <si>
    <t>LCA Banco Beta</t>
  </si>
  <si>
    <t>CT-025</t>
  </si>
  <si>
    <t>APL-025-202501</t>
  </si>
  <si>
    <t>APL-026</t>
  </si>
  <si>
    <t>CT-026</t>
  </si>
  <si>
    <t>APL-026-202501</t>
  </si>
  <si>
    <t>APL-027</t>
  </si>
  <si>
    <t>LCI Cooperativa Delta</t>
  </si>
  <si>
    <t>CT-027</t>
  </si>
  <si>
    <t>APL-027-202501</t>
  </si>
  <si>
    <t>APL-028</t>
  </si>
  <si>
    <t>Compromissada Banco Gama</t>
  </si>
  <si>
    <t>CT-028</t>
  </si>
  <si>
    <t>APL-028-202501</t>
  </si>
  <si>
    <t>APL-001-202502</t>
  </si>
  <si>
    <t>APL-002-202502</t>
  </si>
  <si>
    <t>APL-003-202502</t>
  </si>
  <si>
    <t>APL-004-202502</t>
  </si>
  <si>
    <t>APL-005-202502</t>
  </si>
  <si>
    <t>APL-006-202502</t>
  </si>
  <si>
    <t>APL-007-202502</t>
  </si>
  <si>
    <t>APL-008-202502</t>
  </si>
  <si>
    <t>APL-009-202502</t>
  </si>
  <si>
    <t>APL-010-202502</t>
  </si>
  <si>
    <t>APL-011-202502</t>
  </si>
  <si>
    <t>APL-012-202502</t>
  </si>
  <si>
    <t>APL-013-202502</t>
  </si>
  <si>
    <t>APL-014-202502</t>
  </si>
  <si>
    <t>APL-015-202502</t>
  </si>
  <si>
    <t>APL-016-202502</t>
  </si>
  <si>
    <t>APL-017-202502</t>
  </si>
  <si>
    <t>APL-018-202502</t>
  </si>
  <si>
    <t>APL-019-202502</t>
  </si>
  <si>
    <t>APL-020-202502</t>
  </si>
  <si>
    <t>APL-021-202502</t>
  </si>
  <si>
    <t>APL-022-202502</t>
  </si>
  <si>
    <t>APL-023-202502</t>
  </si>
  <si>
    <t>APL-024-202502</t>
  </si>
  <si>
    <t>APL-025-202502</t>
  </si>
  <si>
    <t>APL-026-202502</t>
  </si>
  <si>
    <t>APL-027-202502</t>
  </si>
  <si>
    <t>APL-028-202502</t>
  </si>
  <si>
    <t>APL-001-202503</t>
  </si>
  <si>
    <t>APL-002-202503</t>
  </si>
  <si>
    <t>APL-003-202503</t>
  </si>
  <si>
    <t>APL-004-202503</t>
  </si>
  <si>
    <t>APL-005-202503</t>
  </si>
  <si>
    <t>APL-006-202503</t>
  </si>
  <si>
    <t>APL-007-202503</t>
  </si>
  <si>
    <t>APL-008-202503</t>
  </si>
  <si>
    <t>APL-009-202503</t>
  </si>
  <si>
    <t>APL-010-202503</t>
  </si>
  <si>
    <t>APL-011-202503</t>
  </si>
  <si>
    <t>APL-012-202503</t>
  </si>
  <si>
    <t>APL-013-202503</t>
  </si>
  <si>
    <t>APL-014-202503</t>
  </si>
  <si>
    <t>APL-015-202503</t>
  </si>
  <si>
    <t>APL-016-202503</t>
  </si>
  <si>
    <t>APL-017-202503</t>
  </si>
  <si>
    <t>APL-018-202503</t>
  </si>
  <si>
    <t>APL-019-202503</t>
  </si>
  <si>
    <t>APL-020-202503</t>
  </si>
  <si>
    <t>APL-021-202503</t>
  </si>
  <si>
    <t>APL-022-202503</t>
  </si>
  <si>
    <t>APL-023-202503</t>
  </si>
  <si>
    <t>APL-024-202503</t>
  </si>
  <si>
    <t>APL-025-202503</t>
  </si>
  <si>
    <t>APL-026-202503</t>
  </si>
  <si>
    <t>APL-027-202503</t>
  </si>
  <si>
    <t>APL-028-202503</t>
  </si>
  <si>
    <t>Parâmetros do relatório</t>
  </si>
  <si>
    <t>Atualizado pela macro ao importar. Pode ser alterado para rever meses anteriores.</t>
  </si>
  <si>
    <t>Limite de concentração por instituição</t>
  </si>
  <si>
    <t>Parâmetro FICTÍCIO. Substitua pelo limite da sua política.</t>
  </si>
  <si>
    <t>Meta de rentabilidade (% do CDI)</t>
  </si>
  <si>
    <t>Parâmetro FICTÍCIO.</t>
  </si>
  <si>
    <t>Tolerância de continuidade do saldo (R$)</t>
  </si>
  <si>
    <t>Diferença aceitável entre saldo final anterior e saldo inicial atual.</t>
  </si>
  <si>
    <t>Pasta do PDF (vazio = pasta deste arquivo)</t>
  </si>
  <si>
    <t>Caminho local. Se o arquivo estiver em nuvem, a macro pergunta a pasta.</t>
  </si>
  <si>
    <t>Status do relatório</t>
  </si>
  <si>
    <t>FINAL</t>
  </si>
  <si>
    <t>Preenchido pela macro (FINAL ou PRELIMINAR). Não editar.</t>
  </si>
  <si>
    <t>Mês anterior (calculado)</t>
  </si>
  <si>
    <t>Mes</t>
  </si>
  <si>
    <t>Novas instituições ou modalidades: acrescente uma linha na tabela correspondente (a conferência acusa ERRO até lá).</t>
  </si>
  <si>
    <t>Data_Base_Original</t>
  </si>
  <si>
    <t>Valores FICTÍCIOS, gravados pela macro a partir das colunas CDI_Mes e IPCA_Mes da planilha mensal.</t>
  </si>
  <si>
    <t>Data_Hora</t>
  </si>
  <si>
    <t>Usuario</t>
  </si>
  <si>
    <t>Arquivo</t>
  </si>
  <si>
    <t>Mes_Ref</t>
  </si>
  <si>
    <t>Linhas</t>
  </si>
  <si>
    <t>script</t>
  </si>
  <si>
    <t>construir_base.py</t>
  </si>
  <si>
    <t>Carga inicial de exemplo (jan-mar/2025, dados fictícios)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</si>
</sst>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yyyy"/>
    <numFmt numFmtId="166" formatCode="&quot;R$&quot;\ #,##0.00;\-&quot;R$&quot;\ #,##0.00;&quot;-&quot;"/>
  </numFmts>
  <fonts count="11" x14ac:knownFonts="1">
    <font>
      <sz val="11"/>
      <color theme="1"/>
      <name val="Calibri"/>
      <family val="2"/>
      <scheme val="minor"/>
    </font>
    <font>
      <b/>
      <sz val="16"/>
      <color rgb="FF1F3A5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i/>
      <sz val="9"/>
      <color rgb="FF595959"/>
      <name val="Arial"/>
    </font>
    <font>
      <i/>
      <sz val="9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i/>
      <sz val="8"/>
      <name val="Arial"/>
    </font>
    <font>
      <i/>
      <sz val="8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EF2F7"/>
      </patternFill>
    </fill>
    <fill>
      <patternFill patternType="solid">
        <fgColor rgb="FF44546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6" fontId="3" fillId="0" borderId="1" xfId="0" applyNumberFormat="1" applyFont="1" applyBorder="1"/>
    <xf numFmtId="10" fontId="3" fillId="0" borderId="1" xfId="0" applyNumberFormat="1" applyFont="1" applyBorder="1"/>
    <xf numFmtId="0" fontId="2" fillId="0" borderId="1" xfId="0" applyFont="1" applyBorder="1"/>
    <xf numFmtId="166" fontId="2" fillId="0" borderId="1" xfId="0" applyNumberFormat="1" applyFont="1" applyBorder="1"/>
    <xf numFmtId="10" fontId="2" fillId="0" borderId="1" xfId="0" applyNumberFormat="1" applyFont="1" applyBorder="1"/>
    <xf numFmtId="0" fontId="9" fillId="0" borderId="0" xfId="0" applyFont="1"/>
    <xf numFmtId="0" fontId="10" fillId="0" borderId="0" xfId="0" applyFont="1"/>
    <xf numFmtId="0" fontId="2" fillId="0" borderId="1" xfId="0" applyFont="1" applyBorder="1" applyAlignment="1">
      <alignment horizontal="center"/>
    </xf>
    <xf numFmtId="4" fontId="3" fillId="0" borderId="1" xfId="0" applyNumberFormat="1" applyFont="1" applyBorder="1"/>
    <xf numFmtId="14" fontId="3" fillId="0" borderId="1" xfId="0" applyNumberFormat="1" applyFont="1" applyBorder="1"/>
    <xf numFmtId="14" fontId="0" fillId="0" borderId="0" xfId="0" applyNumberFormat="1"/>
    <xf numFmtId="4" fontId="0" fillId="0" borderId="0" xfId="0" applyNumberFormat="1"/>
    <xf numFmtId="14" fontId="4" fillId="2" borderId="1" xfId="0" applyNumberFormat="1" applyFont="1" applyFill="1" applyBorder="1"/>
    <xf numFmtId="0" fontId="5" fillId="0" borderId="0" xfId="0" applyFont="1"/>
    <xf numFmtId="9" fontId="4" fillId="2" borderId="1" xfId="0" applyNumberFormat="1" applyFont="1" applyFill="1" applyBorder="1"/>
    <xf numFmtId="4" fontId="4" fillId="2" borderId="1" xfId="0" applyNumberFormat="1" applyFont="1" applyFill="1" applyBorder="1"/>
    <xf numFmtId="49" fontId="4" fillId="2" borderId="1" xfId="0" applyNumberFormat="1" applyFont="1" applyFill="1" applyBorder="1"/>
    <xf numFmtId="0" fontId="6" fillId="0" borderId="0" xfId="0" applyFont="1"/>
    <xf numFmtId="165" fontId="0" fillId="0" borderId="0" xfId="0" applyNumberFormat="1"/>
    <xf numFmtId="10" fontId="0" fillId="0" borderId="0" xfId="0" applyNumberFormat="1"/>
    <xf numFmtId="0" fontId="8" fillId="4" borderId="0" xfId="0" applyFont="1" applyFill="1" applyAlignment="1">
      <alignment vertical="center" indent="1"/>
    </xf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se" displayName="tblBase" ref="A1:BB85">
  <autoFilter ref="A1:BB85" xr:uid="{00000000-0009-0000-0100-000001000000}"/>
  <tableColumns count="54">
    <tableColumn id="1" xr3:uid="{00000000-0010-0000-0000-000001000000}" name="Data_Base"/>
    <tableColumn id="2" xr3:uid="{00000000-0010-0000-0000-000002000000}" name="ID_Aplicacao"/>
    <tableColumn id="3" xr3:uid="{00000000-0010-0000-0000-000003000000}" name="Fonte"/>
    <tableColumn id="4" xr3:uid="{00000000-0010-0000-0000-000004000000}" name="Centro_Custo"/>
    <tableColumn id="5" xr3:uid="{00000000-0010-0000-0000-000005000000}" name="Instituicao"/>
    <tableColumn id="6" xr3:uid="{00000000-0010-0000-0000-000006000000}" name="Modalidade"/>
    <tableColumn id="7" xr3:uid="{00000000-0010-0000-0000-000007000000}" name="Produto"/>
    <tableColumn id="8" xr3:uid="{00000000-0010-0000-0000-000008000000}" name="Indexador"/>
    <tableColumn id="9" xr3:uid="{00000000-0010-0000-0000-000009000000}" name="Perc_CDI_Contratado"/>
    <tableColumn id="10" xr3:uid="{00000000-0010-0000-0000-00000A000000}" name="Taxa_Prefixada"/>
    <tableColumn id="11" xr3:uid="{00000000-0010-0000-0000-00000B000000}" name="Data_Aplicacao"/>
    <tableColumn id="12" xr3:uid="{00000000-0010-0000-0000-00000C000000}" name="Data_Vencimento"/>
    <tableColumn id="13" xr3:uid="{00000000-0010-0000-0000-00000D000000}" name="Liquidez"/>
    <tableColumn id="14" xr3:uid="{00000000-0010-0000-0000-00000E000000}" name="Classificacao"/>
    <tableColumn id="15" xr3:uid="{00000000-0010-0000-0000-00000F000000}" name="Saldo_Anterior"/>
    <tableColumn id="16" xr3:uid="{00000000-0010-0000-0000-000010000000}" name="Aplicacoes"/>
    <tableColumn id="17" xr3:uid="{00000000-0010-0000-0000-000011000000}" name="Resgates"/>
    <tableColumn id="18" xr3:uid="{00000000-0010-0000-0000-000012000000}" name="Juros_Recebidos"/>
    <tableColumn id="19" xr3:uid="{00000000-0010-0000-0000-000013000000}" name="Rendimento_Bruto"/>
    <tableColumn id="20" xr3:uid="{00000000-0010-0000-0000-000014000000}" name="Saldo_Final"/>
    <tableColumn id="21" xr3:uid="{00000000-0010-0000-0000-000015000000}" name="IR_Retido"/>
    <tableColumn id="22" xr3:uid="{00000000-0010-0000-0000-000016000000}" name="IOF_Retido"/>
    <tableColumn id="23" xr3:uid="{00000000-0010-0000-0000-000017000000}" name="IR_Provisionado"/>
    <tableColumn id="24" xr3:uid="{00000000-0010-0000-0000-000018000000}" name="IOF_Provisionado"/>
    <tableColumn id="25" xr3:uid="{00000000-0010-0000-0000-000019000000}" name="Saldo_Liquido"/>
    <tableColumn id="26" xr3:uid="{00000000-0010-0000-0000-00001A000000}" name="Rentab_Mes"/>
    <tableColumn id="27" xr3:uid="{00000000-0010-0000-0000-00001B000000}" name="Rentab_Perc_CDI"/>
    <tableColumn id="28" xr3:uid="{00000000-0010-0000-0000-00001C000000}" name="Rentab_Ano"/>
    <tableColumn id="29" xr3:uid="{00000000-0010-0000-0000-00001D000000}" name="Rentab_12m"/>
    <tableColumn id="30" xr3:uid="{00000000-0010-0000-0000-00001E000000}" name="CDI_Mes"/>
    <tableColumn id="31" xr3:uid="{00000000-0010-0000-0000-00001F000000}" name="CDI_Ano"/>
    <tableColumn id="32" xr3:uid="{00000000-0010-0000-0000-000020000000}" name="CDI_12m"/>
    <tableColumn id="33" xr3:uid="{00000000-0010-0000-0000-000021000000}" name="IPCA_Mes"/>
    <tableColumn id="34" xr3:uid="{00000000-0010-0000-0000-000022000000}" name="Dias_Uteis_Mes"/>
    <tableColumn id="35" xr3:uid="{00000000-0010-0000-0000-000023000000}" name="Prazo_Dias"/>
    <tableColumn id="36" xr3:uid="{00000000-0010-0000-0000-000024000000}" name="Faixa_Vencimento"/>
    <tableColumn id="37" xr3:uid="{00000000-0010-0000-0000-000025000000}" name="Saldo_Liquido_de_IR"/>
    <tableColumn id="38" xr3:uid="{00000000-0010-0000-0000-000026000000}" name="Aliquota_IR"/>
    <tableColumn id="39" xr3:uid="{00000000-0010-0000-0000-000027000000}" name="Isento_IR"/>
    <tableColumn id="40" xr3:uid="{00000000-0010-0000-0000-000028000000}" name="Garantia_FGC"/>
    <tableColumn id="41" xr3:uid="{00000000-0010-0000-0000-000029000000}" name="Rating_Emissor"/>
    <tableColumn id="42" xr3:uid="{00000000-0010-0000-0000-00002A000000}" name="Emissor"/>
    <tableColumn id="43" xr3:uid="{00000000-0010-0000-0000-00002B000000}" name="Custodiante"/>
    <tableColumn id="44" xr3:uid="{00000000-0010-0000-0000-00002C000000}" name="Conta_Referencia"/>
    <tableColumn id="45" xr3:uid="{00000000-0010-0000-0000-00002D000000}" name="Tipo_Resgate"/>
    <tableColumn id="46" xr3:uid="{00000000-0010-0000-0000-00002E000000}" name="Carencia_Dias"/>
    <tableColumn id="47" xr3:uid="{00000000-0010-0000-0000-00002F000000}" name="Enquadramento"/>
    <tableColumn id="48" xr3:uid="{00000000-0010-0000-0000-000030000000}" name="Observacao"/>
    <tableColumn id="49" xr3:uid="{00000000-0010-0000-0000-000031000000}" name="Area_Responsavel"/>
    <tableColumn id="50" xr3:uid="{00000000-0010-0000-0000-000032000000}" name="Data_Atualizacao"/>
    <tableColumn id="51" xr3:uid="{00000000-0010-0000-0000-000033000000}" name="Status"/>
    <tableColumn id="52" xr3:uid="{00000000-0010-0000-0000-000034000000}" name="Chave_Unica"/>
    <tableColumn id="53" xr3:uid="{00000000-0010-0000-0000-000035000000}" name="Mov_Diferenca"/>
    <tableColumn id="54" xr3:uid="{00000000-0010-0000-0000-000036000000}" name="Saldo_Medi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stituicoes" displayName="tblInstituicoes" ref="A1:A6">
  <autoFilter ref="A1:A6" xr:uid="{00000000-0009-0000-0100-000002000000}"/>
  <tableColumns count="1">
    <tableColumn id="1" xr3:uid="{00000000-0010-0000-0100-000001000000}" name="Instituicao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Modalidades" displayName="tblModalidades" ref="C1:C9">
  <autoFilter ref="C1:C9" xr:uid="{00000000-0009-0000-0100-000003000000}"/>
  <tableColumns count="1">
    <tableColumn id="3" xr3:uid="{00000000-0010-0000-0200-000003000000}" name="Modalidad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ontes" displayName="tblFontes" ref="E1:E4">
  <autoFilter ref="E1:E4" xr:uid="{00000000-0009-0000-0100-000004000000}"/>
  <tableColumns count="1">
    <tableColumn id="5" xr3:uid="{00000000-0010-0000-0300-000005000000}" name="Fon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Meses" displayName="tblMeses" ref="G1:G4">
  <autoFilter ref="G1:G4" xr:uid="{00000000-0009-0000-0100-000005000000}"/>
  <tableColumns count="1">
    <tableColumn id="7" xr3:uid="{00000000-0010-0000-0400-000007000000}" name="M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Indicadores" displayName="tblIndicadores" ref="A1:D4">
  <autoFilter ref="A1:D4" xr:uid="{00000000-0009-0000-0100-000006000000}"/>
  <tableColumns count="4">
    <tableColumn id="1" xr3:uid="{00000000-0010-0000-0500-000001000000}" name="Mes"/>
    <tableColumn id="2" xr3:uid="{00000000-0010-0000-0500-000002000000}" name="CDI_Mes"/>
    <tableColumn id="3" xr3:uid="{00000000-0010-0000-0500-000003000000}" name="IPCA_Mes"/>
    <tableColumn id="4" xr3:uid="{00000000-0010-0000-0500-000004000000}" name="Data_Base_Original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Log" displayName="tblLog" ref="A1:G2">
  <autoFilter ref="A1:G2" xr:uid="{00000000-0009-0000-0100-000007000000}"/>
  <tableColumns count="7">
    <tableColumn id="1" xr3:uid="{00000000-0010-0000-0600-000001000000}" name="Data_Hora"/>
    <tableColumn id="2" xr3:uid="{00000000-0010-0000-0600-000002000000}" name="Usuario"/>
    <tableColumn id="3" xr3:uid="{00000000-0010-0000-0600-000003000000}" name="Arquivo"/>
    <tableColumn id="4" xr3:uid="{00000000-0010-0000-0600-000004000000}" name="Mes_Ref"/>
    <tableColumn id="5" xr3:uid="{00000000-0010-0000-0600-000005000000}" name="Linhas"/>
    <tableColumn id="6" xr3:uid="{00000000-0010-0000-0600-000006000000}" name="Data_Base_Original"/>
    <tableColumn id="7" xr3:uid="{00000000-0010-0000-0600-000007000000}" name="Observaca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zoomScale="190" zoomScaleNormal="190" workbookViewId="0">
      <selection activeCell="A7" sqref="A7"/>
    </sheetView>
  </sheetViews>
  <sheetFormatPr defaultRowHeight="15" x14ac:dyDescent="0.25"/>
  <cols>
    <col min="1" max="1" width="110" customWidth="1"/>
  </cols>
  <sheetData>
    <row r="1" spans="1:1" ht="20.2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2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/>
    </row>
    <row r="13" spans="1:1" x14ac:dyDescent="0.25">
      <c r="A13" s="2" t="s">
        <v>10</v>
      </c>
    </row>
    <row r="14" spans="1:1" x14ac:dyDescent="0.25">
      <c r="A14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73"/>
  <sheetViews>
    <sheetView showGridLines="0" workbookViewId="0"/>
  </sheetViews>
  <sheetFormatPr defaultRowHeight="15" x14ac:dyDescent="0.25"/>
  <cols>
    <col min="1" max="1" width="40" customWidth="1"/>
    <col min="2" max="4" width="18" customWidth="1"/>
    <col min="5" max="6" width="14" customWidth="1"/>
    <col min="7" max="7" width="16" customWidth="1"/>
  </cols>
  <sheetData>
    <row r="1" spans="1:4" ht="20.25" x14ac:dyDescent="0.3">
      <c r="A1" s="1" t="s">
        <v>12</v>
      </c>
    </row>
    <row r="2" spans="1:4" x14ac:dyDescent="0.25">
      <c r="A2" s="2" t="str">
        <f>"Mês de referência: "&amp;CHOOSE(MONTH(MesRef),"janeiro","fevereiro","março","abril","maio","junho","julho","agosto","setembro","outubro","novembro","dezembro")&amp;"/"&amp;YEAR(MesRef)&amp;"   |   Dados fictícios de demonstração"</f>
        <v>Mês de referência: março/2025   |   Dados fictícios de demonstração</v>
      </c>
    </row>
    <row r="3" spans="1:4" x14ac:dyDescent="0.25">
      <c r="A3" s="4" t="str">
        <f>IF(StatusRelatorio="PRELIMINAR","VERSÃO PRELIMINAR — há conferências com ERRO","")</f>
        <v/>
      </c>
    </row>
    <row r="5" spans="1:4" x14ac:dyDescent="0.25">
      <c r="A5" s="27" t="s">
        <v>13</v>
      </c>
      <c r="B5" s="28"/>
      <c r="C5" s="28"/>
      <c r="D5" s="28"/>
    </row>
    <row r="6" spans="1:4" x14ac:dyDescent="0.25">
      <c r="A6" s="5" t="s">
        <v>14</v>
      </c>
      <c r="B6" s="5" t="s">
        <v>15</v>
      </c>
      <c r="C6" s="5" t="s">
        <v>16</v>
      </c>
      <c r="D6" s="5" t="s">
        <v>17</v>
      </c>
    </row>
    <row r="7" spans="1:4" x14ac:dyDescent="0.25">
      <c r="A7" s="6" t="s">
        <v>18</v>
      </c>
      <c r="B7" s="7">
        <f>SUMIFS(col_SF,col_Data,MesRef)</f>
        <v>42617210.25</v>
      </c>
      <c r="C7" s="7">
        <f>SUMIFS(col_SF,col_Data,MesAnt)</f>
        <v>43347596.43</v>
      </c>
      <c r="D7" s="7">
        <f t="shared" ref="D7:D18" si="0">B7-C7</f>
        <v>-730386.1799999997</v>
      </c>
    </row>
    <row r="8" spans="1:4" x14ac:dyDescent="0.25">
      <c r="A8" s="6" t="s">
        <v>19</v>
      </c>
      <c r="B8" s="7">
        <f>SUMIFS(col_Ap,col_Data,MesRef)</f>
        <v>23401.98</v>
      </c>
      <c r="C8" s="7">
        <f>SUMIFS(col_Ap,col_Data,MesAnt)</f>
        <v>610878.52</v>
      </c>
      <c r="D8" s="7">
        <f t="shared" si="0"/>
        <v>-587476.54</v>
      </c>
    </row>
    <row r="9" spans="1:4" x14ac:dyDescent="0.25">
      <c r="A9" s="6" t="s">
        <v>20</v>
      </c>
      <c r="B9" s="7">
        <f>SUMIFS(col_Res,col_Data,MesRef)</f>
        <v>1102210.53</v>
      </c>
      <c r="C9" s="7">
        <f>SUMIFS(col_Res,col_Data,MesAnt)</f>
        <v>742352.27</v>
      </c>
      <c r="D9" s="7">
        <f t="shared" si="0"/>
        <v>359858.26</v>
      </c>
    </row>
    <row r="10" spans="1:4" x14ac:dyDescent="0.25">
      <c r="A10" s="6" t="s">
        <v>21</v>
      </c>
      <c r="B10" s="7">
        <f>SUMIFS(col_Jur,col_Data,MesRef)</f>
        <v>0</v>
      </c>
      <c r="C10" s="7">
        <f>SUMIFS(col_Jur,col_Data,MesAnt)</f>
        <v>0</v>
      </c>
      <c r="D10" s="7">
        <f t="shared" si="0"/>
        <v>0</v>
      </c>
    </row>
    <row r="11" spans="1:4" x14ac:dyDescent="0.25">
      <c r="A11" s="6" t="s">
        <v>22</v>
      </c>
      <c r="B11" s="7">
        <f>SUMIFS(col_Rend,col_Data,MesRef)</f>
        <v>359745.59</v>
      </c>
      <c r="C11" s="7">
        <f>SUMIFS(col_Rend,col_Data,MesAnt)</f>
        <v>341221.07</v>
      </c>
      <c r="D11" s="7">
        <f t="shared" si="0"/>
        <v>18524.520000000019</v>
      </c>
    </row>
    <row r="12" spans="1:4" x14ac:dyDescent="0.25">
      <c r="A12" s="6" t="s">
        <v>23</v>
      </c>
      <c r="B12" s="7">
        <f>SUMIFS(col_IRR,col_Data,MesRef)+SUMIFS(col_IOFR,col_Data,MesRef)</f>
        <v>11323.22</v>
      </c>
      <c r="C12" s="7">
        <f>SUMIFS(col_IRR,col_Data,MesAnt)+SUMIFS(col_IOFR,col_Data,MesAnt)</f>
        <v>10149.92</v>
      </c>
      <c r="D12" s="7">
        <f t="shared" si="0"/>
        <v>1173.2999999999993</v>
      </c>
    </row>
    <row r="13" spans="1:4" x14ac:dyDescent="0.25">
      <c r="A13" s="6" t="s">
        <v>24</v>
      </c>
      <c r="B13" s="7">
        <f>SUMIFS(col_IRP,col_Data,MesRef)</f>
        <v>28174.909999999996</v>
      </c>
      <c r="C13" s="7">
        <f>SUMIFS(col_IRP,col_Data,MesAnt)</f>
        <v>27916.469999999998</v>
      </c>
      <c r="D13" s="7">
        <f t="shared" si="0"/>
        <v>258.43999999999869</v>
      </c>
    </row>
    <row r="14" spans="1:4" x14ac:dyDescent="0.25">
      <c r="A14" s="6" t="s">
        <v>25</v>
      </c>
      <c r="B14" s="7">
        <f>SUMIFS(col_SMed,col_Data,MesRef)</f>
        <v>42982403.340000004</v>
      </c>
      <c r="C14" s="7">
        <f>SUMIFS(col_SMed,col_Data,MesAnt)</f>
        <v>43247797.729999997</v>
      </c>
      <c r="D14" s="7">
        <f t="shared" si="0"/>
        <v>-265394.38999999315</v>
      </c>
    </row>
    <row r="15" spans="1:4" x14ac:dyDescent="0.25">
      <c r="A15" s="6" t="s">
        <v>26</v>
      </c>
      <c r="B15" s="8">
        <f>IFERROR(B11/B14,0)</f>
        <v>8.3696015589062225E-3</v>
      </c>
      <c r="C15" s="8">
        <f>IFERROR(C11/C14,0)</f>
        <v>7.8899062590487203E-3</v>
      </c>
      <c r="D15" s="8">
        <f t="shared" si="0"/>
        <v>4.7969529985750214E-4</v>
      </c>
    </row>
    <row r="16" spans="1:4" x14ac:dyDescent="0.25">
      <c r="A16" s="6" t="s">
        <v>27</v>
      </c>
      <c r="B16" s="8">
        <f>IFERROR(INDEX(ind_CDI,MATCH(MesRef,ind_Mes,0)),0)</f>
        <v>9.7000000000000003E-3</v>
      </c>
      <c r="C16" s="8">
        <f>IFERROR(INDEX(ind_CDI,MATCH(MesAnt,ind_Mes,0)),0)</f>
        <v>8.8000000000000005E-3</v>
      </c>
      <c r="D16" s="8">
        <f t="shared" si="0"/>
        <v>8.9999999999999976E-4</v>
      </c>
    </row>
    <row r="17" spans="1:4" x14ac:dyDescent="0.25">
      <c r="A17" s="6" t="s">
        <v>28</v>
      </c>
      <c r="B17" s="8">
        <f>IFERROR(B15/B16,0)</f>
        <v>0.86284552153672389</v>
      </c>
      <c r="C17" s="8">
        <f>IFERROR(C15/C16,0)</f>
        <v>0.89658025671008179</v>
      </c>
      <c r="D17" s="8">
        <f t="shared" si="0"/>
        <v>-3.3734735173357899E-2</v>
      </c>
    </row>
    <row r="18" spans="1:4" x14ac:dyDescent="0.25">
      <c r="A18" s="6" t="s">
        <v>29</v>
      </c>
      <c r="B18" s="8">
        <f>MetaCDI</f>
        <v>1</v>
      </c>
      <c r="C18" s="8">
        <f>MetaCDI</f>
        <v>1</v>
      </c>
      <c r="D18" s="8">
        <f t="shared" si="0"/>
        <v>0</v>
      </c>
    </row>
    <row r="19" spans="1:4" x14ac:dyDescent="0.25">
      <c r="A19" s="6" t="s">
        <v>30</v>
      </c>
      <c r="B19" s="6" t="str">
        <f>IF(B17&gt;=B18,"Atingida","Não atingida")</f>
        <v>Não atingida</v>
      </c>
      <c r="C19" s="6" t="str">
        <f>IF(C16=0,"-",IF(C17&gt;=C18,"Atingida","Não atingida"))</f>
        <v>Não atingida</v>
      </c>
      <c r="D19" s="6"/>
    </row>
    <row r="21" spans="1:4" x14ac:dyDescent="0.25">
      <c r="A21" s="27" t="s">
        <v>31</v>
      </c>
      <c r="B21" s="28"/>
      <c r="C21" s="28"/>
      <c r="D21" s="28"/>
    </row>
    <row r="22" spans="1:4" x14ac:dyDescent="0.25">
      <c r="A22" s="6" t="s">
        <v>32</v>
      </c>
      <c r="B22" s="7">
        <f>B11-C11</f>
        <v>18524.520000000019</v>
      </c>
    </row>
    <row r="23" spans="1:4" x14ac:dyDescent="0.25">
      <c r="A23" s="6" t="s">
        <v>33</v>
      </c>
      <c r="B23" s="7">
        <f>IFERROR((B14-C14)*C15,0)</f>
        <v>-2093.9368587773629</v>
      </c>
    </row>
    <row r="24" spans="1:4" x14ac:dyDescent="0.25">
      <c r="A24" s="6" t="s">
        <v>34</v>
      </c>
      <c r="B24" s="7">
        <f>B22-B23</f>
        <v>20618.456858777383</v>
      </c>
    </row>
    <row r="26" spans="1:4" x14ac:dyDescent="0.25">
      <c r="A26" s="27" t="s">
        <v>35</v>
      </c>
      <c r="B26" s="28"/>
      <c r="C26" s="28"/>
      <c r="D26" s="28"/>
    </row>
    <row r="27" spans="1:4" x14ac:dyDescent="0.25">
      <c r="A27" s="5" t="s">
        <v>36</v>
      </c>
      <c r="B27" s="5" t="s">
        <v>37</v>
      </c>
      <c r="C27" s="5" t="s">
        <v>38</v>
      </c>
      <c r="D27" s="5" t="s">
        <v>22</v>
      </c>
    </row>
    <row r="28" spans="1:4" x14ac:dyDescent="0.25">
      <c r="A28" s="6" t="str">
        <f>Cadastros!E2</f>
        <v>Recursos Proprios</v>
      </c>
      <c r="B28" s="7">
        <f>SUMIFS(col_SF,col_Data,MesRef,col_Fonte,A28)</f>
        <v>21296606.719999999</v>
      </c>
      <c r="C28" s="8">
        <f>IFERROR(B28/$B$7,0)</f>
        <v>0.49971846104121748</v>
      </c>
      <c r="D28" s="7">
        <f>SUMIFS(col_Rend,col_Data,MesRef,col_Fonte,A28)</f>
        <v>190325.32000000004</v>
      </c>
    </row>
    <row r="29" spans="1:4" x14ac:dyDescent="0.25">
      <c r="A29" s="6" t="str">
        <f>Cadastros!E3</f>
        <v>Recursos de Terceiros</v>
      </c>
      <c r="B29" s="7">
        <f>SUMIFS(col_SF,col_Data,MesRef,col_Fonte,A29)</f>
        <v>9993010.5</v>
      </c>
      <c r="C29" s="8">
        <f>IFERROR(B29/$B$7,0)</f>
        <v>0.23448298096893849</v>
      </c>
      <c r="D29" s="7">
        <f>SUMIFS(col_Rend,col_Data,MesRef,col_Fonte,A29)</f>
        <v>76122.12000000001</v>
      </c>
    </row>
    <row r="30" spans="1:4" x14ac:dyDescent="0.25">
      <c r="A30" s="6" t="str">
        <f>Cadastros!E4</f>
        <v>Financiamento de Base</v>
      </c>
      <c r="B30" s="7">
        <f>SUMIFS(col_SF,col_Data,MesRef,col_Fonte,A30)</f>
        <v>11327593.029999997</v>
      </c>
      <c r="C30" s="8">
        <f>IFERROR(B30/$B$7,0)</f>
        <v>0.26579855798984398</v>
      </c>
      <c r="D30" s="7">
        <f>SUMIFS(col_Rend,col_Data,MesRef,col_Fonte,A30)</f>
        <v>93298.150000000009</v>
      </c>
    </row>
    <row r="31" spans="1:4" x14ac:dyDescent="0.25">
      <c r="A31" s="9" t="s">
        <v>39</v>
      </c>
      <c r="B31" s="10">
        <f>SUM(B28:B30)</f>
        <v>42617210.25</v>
      </c>
      <c r="C31" s="11">
        <f>SUM(C28:C30)</f>
        <v>0.99999999999999989</v>
      </c>
      <c r="D31" s="10">
        <f>SUM(D28:D30)</f>
        <v>359745.59000000008</v>
      </c>
    </row>
    <row r="33" spans="1:6" x14ac:dyDescent="0.25">
      <c r="A33" s="27" t="s">
        <v>40</v>
      </c>
      <c r="B33" s="28"/>
      <c r="C33" s="28"/>
      <c r="D33" s="28"/>
      <c r="E33" s="28"/>
      <c r="F33" s="28"/>
    </row>
    <row r="34" spans="1:6" x14ac:dyDescent="0.25">
      <c r="A34" s="5" t="s">
        <v>41</v>
      </c>
      <c r="B34" s="5" t="s">
        <v>37</v>
      </c>
      <c r="C34" s="5" t="s">
        <v>38</v>
      </c>
      <c r="D34" s="5" t="s">
        <v>42</v>
      </c>
      <c r="E34" s="5" t="s">
        <v>43</v>
      </c>
      <c r="F34" s="5" t="s">
        <v>44</v>
      </c>
    </row>
    <row r="35" spans="1:6" x14ac:dyDescent="0.25">
      <c r="A35" s="6" t="str">
        <f>IF(Cadastros!A2="","",Cadastros!A2)</f>
        <v>Banco Alfa</v>
      </c>
      <c r="B35" s="7">
        <f t="shared" ref="B35:B44" si="1">IF(A35="","",SUMIFS(col_SF,col_Data,MesRef,col_Inst,A35))</f>
        <v>14664010.860000001</v>
      </c>
      <c r="C35" s="8">
        <f t="shared" ref="C35:C44" si="2">IF(A35="","",IFERROR(B35/$B$7,0))</f>
        <v>0.34408659726852958</v>
      </c>
      <c r="D35" s="8">
        <f t="shared" ref="D35:D44" si="3">IF(A35="","",LimiteConc)</f>
        <v>0.3</v>
      </c>
      <c r="E35" s="8">
        <f t="shared" ref="E35:E44" si="4">IF(A35="","",D35-C35)</f>
        <v>-4.4086597268529593E-2</v>
      </c>
      <c r="F35" s="6" t="str">
        <f t="shared" ref="F35:F44" si="5">IF(A35="","",IF(C35&gt;D35,"Atenção","Conforme"))</f>
        <v>Atenção</v>
      </c>
    </row>
    <row r="36" spans="1:6" x14ac:dyDescent="0.25">
      <c r="A36" s="6" t="str">
        <f>IF(Cadastros!A3="","",Cadastros!A3)</f>
        <v>Banco Beta</v>
      </c>
      <c r="B36" s="7">
        <f t="shared" si="1"/>
        <v>9329108.4600000009</v>
      </c>
      <c r="C36" s="8">
        <f t="shared" si="2"/>
        <v>0.2189047196021002</v>
      </c>
      <c r="D36" s="8">
        <f t="shared" si="3"/>
        <v>0.3</v>
      </c>
      <c r="E36" s="8">
        <f t="shared" si="4"/>
        <v>8.1095280397899788E-2</v>
      </c>
      <c r="F36" s="6" t="str">
        <f t="shared" si="5"/>
        <v>Conforme</v>
      </c>
    </row>
    <row r="37" spans="1:6" x14ac:dyDescent="0.25">
      <c r="A37" s="6" t="str">
        <f>IF(Cadastros!A4="","",Cadastros!A4)</f>
        <v>Banco Gama</v>
      </c>
      <c r="B37" s="7">
        <f t="shared" si="1"/>
        <v>3020589.4299999997</v>
      </c>
      <c r="C37" s="8">
        <f t="shared" si="2"/>
        <v>7.0877221016596215E-2</v>
      </c>
      <c r="D37" s="8">
        <f t="shared" si="3"/>
        <v>0.3</v>
      </c>
      <c r="E37" s="8">
        <f t="shared" si="4"/>
        <v>0.22912277898340377</v>
      </c>
      <c r="F37" s="6" t="str">
        <f t="shared" si="5"/>
        <v>Conforme</v>
      </c>
    </row>
    <row r="38" spans="1:6" x14ac:dyDescent="0.25">
      <c r="A38" s="6" t="str">
        <f>IF(Cadastros!A5="","",Cadastros!A5)</f>
        <v>Cooperativa Delta</v>
      </c>
      <c r="B38" s="7">
        <f t="shared" si="1"/>
        <v>6320893.5800000001</v>
      </c>
      <c r="C38" s="8">
        <f t="shared" si="2"/>
        <v>0.14831786367339705</v>
      </c>
      <c r="D38" s="8">
        <f t="shared" si="3"/>
        <v>0.3</v>
      </c>
      <c r="E38" s="8">
        <f t="shared" si="4"/>
        <v>0.15168213632660293</v>
      </c>
      <c r="F38" s="6" t="str">
        <f t="shared" si="5"/>
        <v>Conforme</v>
      </c>
    </row>
    <row r="39" spans="1:6" x14ac:dyDescent="0.25">
      <c r="A39" s="6" t="str">
        <f>IF(Cadastros!A6="","",Cadastros!A6)</f>
        <v>Banco Epsilon</v>
      </c>
      <c r="B39" s="7">
        <f t="shared" si="1"/>
        <v>9282607.9199999999</v>
      </c>
      <c r="C39" s="8">
        <f t="shared" si="2"/>
        <v>0.21781359843937698</v>
      </c>
      <c r="D39" s="8">
        <f t="shared" si="3"/>
        <v>0.3</v>
      </c>
      <c r="E39" s="8">
        <f t="shared" si="4"/>
        <v>8.2186401560623012E-2</v>
      </c>
      <c r="F39" s="6" t="str">
        <f t="shared" si="5"/>
        <v>Conforme</v>
      </c>
    </row>
    <row r="40" spans="1:6" x14ac:dyDescent="0.25">
      <c r="A40" s="6" t="str">
        <f>IF(Cadastros!A7="","",Cadastros!A7)</f>
        <v/>
      </c>
      <c r="B40" s="7" t="str">
        <f t="shared" si="1"/>
        <v/>
      </c>
      <c r="C40" s="8" t="str">
        <f t="shared" si="2"/>
        <v/>
      </c>
      <c r="D40" s="8" t="str">
        <f t="shared" si="3"/>
        <v/>
      </c>
      <c r="E40" s="8" t="str">
        <f t="shared" si="4"/>
        <v/>
      </c>
      <c r="F40" s="6" t="str">
        <f t="shared" si="5"/>
        <v/>
      </c>
    </row>
    <row r="41" spans="1:6" x14ac:dyDescent="0.25">
      <c r="A41" s="6" t="str">
        <f>IF(Cadastros!A8="","",Cadastros!A8)</f>
        <v/>
      </c>
      <c r="B41" s="7" t="str">
        <f t="shared" si="1"/>
        <v/>
      </c>
      <c r="C41" s="8" t="str">
        <f t="shared" si="2"/>
        <v/>
      </c>
      <c r="D41" s="8" t="str">
        <f t="shared" si="3"/>
        <v/>
      </c>
      <c r="E41" s="8" t="str">
        <f t="shared" si="4"/>
        <v/>
      </c>
      <c r="F41" s="6" t="str">
        <f t="shared" si="5"/>
        <v/>
      </c>
    </row>
    <row r="42" spans="1:6" x14ac:dyDescent="0.25">
      <c r="A42" s="6" t="str">
        <f>IF(Cadastros!A9="","",Cadastros!A9)</f>
        <v/>
      </c>
      <c r="B42" s="7" t="str">
        <f t="shared" si="1"/>
        <v/>
      </c>
      <c r="C42" s="8" t="str">
        <f t="shared" si="2"/>
        <v/>
      </c>
      <c r="D42" s="8" t="str">
        <f t="shared" si="3"/>
        <v/>
      </c>
      <c r="E42" s="8" t="str">
        <f t="shared" si="4"/>
        <v/>
      </c>
      <c r="F42" s="6" t="str">
        <f t="shared" si="5"/>
        <v/>
      </c>
    </row>
    <row r="43" spans="1:6" x14ac:dyDescent="0.25">
      <c r="A43" s="6" t="str">
        <f>IF(Cadastros!A10="","",Cadastros!A10)</f>
        <v/>
      </c>
      <c r="B43" s="7" t="str">
        <f t="shared" si="1"/>
        <v/>
      </c>
      <c r="C43" s="8" t="str">
        <f t="shared" si="2"/>
        <v/>
      </c>
      <c r="D43" s="8" t="str">
        <f t="shared" si="3"/>
        <v/>
      </c>
      <c r="E43" s="8" t="str">
        <f t="shared" si="4"/>
        <v/>
      </c>
      <c r="F43" s="6" t="str">
        <f t="shared" si="5"/>
        <v/>
      </c>
    </row>
    <row r="44" spans="1:6" x14ac:dyDescent="0.25">
      <c r="A44" s="6" t="str">
        <f>IF(Cadastros!A11="","",Cadastros!A11)</f>
        <v/>
      </c>
      <c r="B44" s="7" t="str">
        <f t="shared" si="1"/>
        <v/>
      </c>
      <c r="C44" s="8" t="str">
        <f t="shared" si="2"/>
        <v/>
      </c>
      <c r="D44" s="8" t="str">
        <f t="shared" si="3"/>
        <v/>
      </c>
      <c r="E44" s="8" t="str">
        <f t="shared" si="4"/>
        <v/>
      </c>
      <c r="F44" s="6" t="str">
        <f t="shared" si="5"/>
        <v/>
      </c>
    </row>
    <row r="45" spans="1:6" x14ac:dyDescent="0.25">
      <c r="A45" s="12" t="s">
        <v>45</v>
      </c>
    </row>
    <row r="47" spans="1:6" x14ac:dyDescent="0.25">
      <c r="A47" s="27" t="s">
        <v>46</v>
      </c>
      <c r="B47" s="28"/>
      <c r="C47" s="28"/>
    </row>
    <row r="48" spans="1:6" x14ac:dyDescent="0.25">
      <c r="A48" s="5" t="s">
        <v>47</v>
      </c>
      <c r="B48" s="5" t="s">
        <v>37</v>
      </c>
      <c r="C48" s="5" t="s">
        <v>38</v>
      </c>
    </row>
    <row r="49" spans="1:6" x14ac:dyDescent="0.25">
      <c r="A49" s="6" t="str">
        <f>IF(Cadastros!C2="","",Cadastros!C2)</f>
        <v>CDB</v>
      </c>
      <c r="B49" s="7">
        <f t="shared" ref="B49:B58" si="6">IF(A49="","",SUMIFS(col_SF,col_Data,MesRef,col_Mod,A49))</f>
        <v>4538603.07</v>
      </c>
      <c r="C49" s="8">
        <f t="shared" ref="C49:C58" si="7">IF(A49="","",IFERROR(B49/$B$7,0))</f>
        <v>0.1064969537746784</v>
      </c>
    </row>
    <row r="50" spans="1:6" x14ac:dyDescent="0.25">
      <c r="A50" s="6" t="str">
        <f>IF(Cadastros!C3="","",Cadastros!C3)</f>
        <v>LCA</v>
      </c>
      <c r="B50" s="7">
        <f t="shared" si="6"/>
        <v>8856888.7300000004</v>
      </c>
      <c r="C50" s="8">
        <f t="shared" si="7"/>
        <v>0.20782422589474872</v>
      </c>
    </row>
    <row r="51" spans="1:6" x14ac:dyDescent="0.25">
      <c r="A51" s="6" t="str">
        <f>IF(Cadastros!C4="","",Cadastros!C4)</f>
        <v>LCI</v>
      </c>
      <c r="B51" s="7">
        <f t="shared" si="6"/>
        <v>1977817.25</v>
      </c>
      <c r="C51" s="8">
        <f t="shared" si="7"/>
        <v>4.6408885950013586E-2</v>
      </c>
    </row>
    <row r="52" spans="1:6" x14ac:dyDescent="0.25">
      <c r="A52" s="6" t="str">
        <f>IF(Cadastros!C5="","",Cadastros!C5)</f>
        <v>Fundo DI</v>
      </c>
      <c r="B52" s="7">
        <f t="shared" si="6"/>
        <v>7125552.6200000001</v>
      </c>
      <c r="C52" s="8">
        <f t="shared" si="7"/>
        <v>0.16719894564191939</v>
      </c>
    </row>
    <row r="53" spans="1:6" x14ac:dyDescent="0.25">
      <c r="A53" s="6" t="str">
        <f>IF(Cadastros!C6="","",Cadastros!C6)</f>
        <v>Fundo Aplic. Automatica</v>
      </c>
      <c r="B53" s="7">
        <f t="shared" si="6"/>
        <v>3430018.29</v>
      </c>
      <c r="C53" s="8">
        <f t="shared" si="7"/>
        <v>8.0484345875267607E-2</v>
      </c>
    </row>
    <row r="54" spans="1:6" x14ac:dyDescent="0.25">
      <c r="A54" s="6" t="str">
        <f>IF(Cadastros!C7="","",Cadastros!C7)</f>
        <v>Tesouro Selic</v>
      </c>
      <c r="B54" s="7">
        <f t="shared" si="6"/>
        <v>9871253.8900000006</v>
      </c>
      <c r="C54" s="8">
        <f t="shared" si="7"/>
        <v>0.23162599879470055</v>
      </c>
    </row>
    <row r="55" spans="1:6" x14ac:dyDescent="0.25">
      <c r="A55" s="6" t="str">
        <f>IF(Cadastros!C8="","",Cadastros!C8)</f>
        <v>Tesouro IPCA+</v>
      </c>
      <c r="B55" s="7">
        <f t="shared" si="6"/>
        <v>2189016.73</v>
      </c>
      <c r="C55" s="8">
        <f t="shared" si="7"/>
        <v>5.136461812396554E-2</v>
      </c>
    </row>
    <row r="56" spans="1:6" x14ac:dyDescent="0.25">
      <c r="A56" s="6" t="str">
        <f>IF(Cadastros!C9="","",Cadastros!C9)</f>
        <v>Compromissada</v>
      </c>
      <c r="B56" s="7">
        <f t="shared" si="6"/>
        <v>4628059.67</v>
      </c>
      <c r="C56" s="8">
        <f t="shared" si="7"/>
        <v>0.10859602594470621</v>
      </c>
    </row>
    <row r="57" spans="1:6" x14ac:dyDescent="0.25">
      <c r="A57" s="6" t="str">
        <f>IF(Cadastros!C10="","",Cadastros!C10)</f>
        <v/>
      </c>
      <c r="B57" s="7" t="str">
        <f t="shared" si="6"/>
        <v/>
      </c>
      <c r="C57" s="8" t="str">
        <f t="shared" si="7"/>
        <v/>
      </c>
    </row>
    <row r="58" spans="1:6" x14ac:dyDescent="0.25">
      <c r="A58" s="6" t="str">
        <f>IF(Cadastros!C11="","",Cadastros!C11)</f>
        <v/>
      </c>
      <c r="B58" s="7" t="str">
        <f t="shared" si="6"/>
        <v/>
      </c>
      <c r="C58" s="8" t="str">
        <f t="shared" si="7"/>
        <v/>
      </c>
    </row>
    <row r="60" spans="1:6" x14ac:dyDescent="0.25">
      <c r="A60" s="27" t="s">
        <v>48</v>
      </c>
      <c r="B60" s="28"/>
      <c r="C60" s="28"/>
      <c r="D60" s="28"/>
      <c r="E60" s="28"/>
      <c r="F60" s="28"/>
    </row>
    <row r="61" spans="1:6" x14ac:dyDescent="0.25">
      <c r="A61" s="29" t="str">
        <f>IF(B17&gt;=B18,"Meta atingida: ","Meta não atingida: ")&amp;FIXED(B17*100,1)&amp;"% do CDI (meta de "&amp;FIXED(B18*100,0)&amp;"%)."</f>
        <v>Meta não atingida: 86,3% do CDI (meta de 100%).</v>
      </c>
      <c r="B61" s="28"/>
      <c r="C61" s="28"/>
      <c r="D61" s="28"/>
      <c r="E61" s="28"/>
      <c r="F61" s="28"/>
    </row>
    <row r="62" spans="1:6" x14ac:dyDescent="0.25">
      <c r="A62" s="29" t="str">
        <f>"Variação do rendimento: R$ "&amp;FIXED(B22,2)&amp;" (efeito volume R$ "&amp;FIXED(B23,2)&amp;"; efeito taxa R$ "&amp;FIXED(B24,2)&amp;")."</f>
        <v>Variação do rendimento: R$ 18.524,52 (efeito volume R$ -2.093,94; efeito taxa R$ 20.618,46).</v>
      </c>
      <c r="B62" s="28"/>
      <c r="C62" s="28"/>
      <c r="D62" s="28"/>
      <c r="E62" s="28"/>
      <c r="F62" s="28"/>
    </row>
    <row r="63" spans="1:6" x14ac:dyDescent="0.25">
      <c r="A63" s="29" t="str">
        <f>"Instituições acima do limite de concentração: "&amp;COUNTIF(F35:F44,"Atenção")&amp;"."</f>
        <v>Instituições acima do limite de concentração: 1.</v>
      </c>
      <c r="B63" s="28"/>
      <c r="C63" s="28"/>
      <c r="D63" s="28"/>
      <c r="E63" s="28"/>
      <c r="F63" s="28"/>
    </row>
    <row r="64" spans="1:6" x14ac:dyDescent="0.25">
      <c r="A64" s="29" t="str">
        <f>"Conferências: "&amp;QtdErros&amp;" erro(s) e "&amp;QtdAlertas&amp;" alerta(s). Detalhes na aba Conferencias."</f>
        <v>Conferências: 0 erro(s) e 0 alerta(s). Detalhes na aba Conferencias.</v>
      </c>
      <c r="B64" s="28"/>
      <c r="C64" s="28"/>
      <c r="D64" s="28"/>
      <c r="E64" s="28"/>
      <c r="F64" s="28"/>
    </row>
    <row r="66" spans="1:6" x14ac:dyDescent="0.25">
      <c r="A66" s="27" t="s">
        <v>49</v>
      </c>
      <c r="B66" s="28"/>
      <c r="C66" s="28"/>
      <c r="D66" s="28"/>
      <c r="E66" s="28"/>
      <c r="F66" s="28"/>
    </row>
    <row r="67" spans="1:6" x14ac:dyDescent="0.25">
      <c r="A67" s="30" t="s">
        <v>50</v>
      </c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3" spans="1:6" x14ac:dyDescent="0.25">
      <c r="A73" s="13" t="s">
        <v>51</v>
      </c>
    </row>
  </sheetData>
  <mergeCells count="12">
    <mergeCell ref="A66:F66"/>
    <mergeCell ref="A67:F71"/>
    <mergeCell ref="A26:D26"/>
    <mergeCell ref="A21:D21"/>
    <mergeCell ref="A61:F61"/>
    <mergeCell ref="A62:F62"/>
    <mergeCell ref="A64:F64"/>
    <mergeCell ref="A5:D5"/>
    <mergeCell ref="A33:F33"/>
    <mergeCell ref="A63:F63"/>
    <mergeCell ref="A60:F60"/>
    <mergeCell ref="A47:C47"/>
  </mergeCells>
  <conditionalFormatting sqref="F35:F44">
    <cfRule type="cellIs" dxfId="3" priority="1" operator="equal">
      <formula>"Atenção"</formula>
    </cfRule>
  </conditionalFormatting>
  <pageMargins left="0.75" right="0.75" top="1" bottom="1" header="0.5" footer="0.5"/>
  <pageSetup paperSize="9" fitToHeight="0" orientation="portrait"/>
  <headerFooter>
    <oddFooter>&amp;CPágina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"/>
  <sheetViews>
    <sheetView showGridLines="0" workbookViewId="0"/>
  </sheetViews>
  <sheetFormatPr defaultRowHeight="15" x14ac:dyDescent="0.25"/>
  <cols>
    <col min="1" max="1" width="5" customWidth="1"/>
    <col min="2" max="2" width="48" customWidth="1"/>
    <col min="3" max="3" width="16" customWidth="1"/>
    <col min="4" max="4" width="44" customWidth="1"/>
    <col min="5" max="5" width="12" customWidth="1"/>
  </cols>
  <sheetData>
    <row r="1" spans="1:5" ht="20.25" x14ac:dyDescent="0.3">
      <c r="A1" s="1" t="s">
        <v>52</v>
      </c>
    </row>
    <row r="3" spans="1:5" x14ac:dyDescent="0.25">
      <c r="B3" s="2" t="s">
        <v>53</v>
      </c>
      <c r="C3" s="2">
        <f>COUNTIF(E8:E30,"ERRO")</f>
        <v>0</v>
      </c>
    </row>
    <row r="4" spans="1:5" x14ac:dyDescent="0.25">
      <c r="B4" s="2" t="s">
        <v>54</v>
      </c>
      <c r="C4" s="2">
        <f>COUNTIF(E8:E30,"ALERTA")</f>
        <v>0</v>
      </c>
    </row>
    <row r="7" spans="1:5" x14ac:dyDescent="0.25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</row>
    <row r="8" spans="1:5" x14ac:dyDescent="0.25">
      <c r="A8" s="6">
        <v>1</v>
      </c>
      <c r="B8" s="6" t="s">
        <v>60</v>
      </c>
      <c r="C8" s="6">
        <f>COUNTIF(cad_Meses,MesRef)</f>
        <v>1</v>
      </c>
      <c r="D8" s="6" t="s">
        <v>61</v>
      </c>
      <c r="E8" s="14" t="str">
        <f>IF(C8&gt;=1,"OK","ERRO")</f>
        <v>OK</v>
      </c>
    </row>
    <row r="9" spans="1:5" x14ac:dyDescent="0.25">
      <c r="A9" s="6">
        <v>2</v>
      </c>
      <c r="B9" s="6" t="s">
        <v>62</v>
      </c>
      <c r="C9" s="6">
        <f>COUNTIF(col_Data,MesRef)</f>
        <v>28</v>
      </c>
      <c r="D9" s="6" t="s">
        <v>63</v>
      </c>
      <c r="E9" s="14" t="str">
        <f>IF(C9&gt;0,"OK","ERRO")</f>
        <v>OK</v>
      </c>
    </row>
    <row r="10" spans="1:5" x14ac:dyDescent="0.25">
      <c r="A10" s="6">
        <v>3</v>
      </c>
      <c r="B10" s="6" t="s">
        <v>64</v>
      </c>
      <c r="C10" s="6">
        <f>SUMPRODUCT((col_Data=MesRef)*(col_Inst=""))+SUMPRODUCT((col_Data=MesRef)*(col_Mod=""))</f>
        <v>0</v>
      </c>
      <c r="D10" s="6" t="s">
        <v>65</v>
      </c>
      <c r="E10" s="14" t="str">
        <f>IF(C10=0,"OK","ERRO")</f>
        <v>OK</v>
      </c>
    </row>
    <row r="11" spans="1:5" x14ac:dyDescent="0.25">
      <c r="A11" s="6">
        <v>4</v>
      </c>
      <c r="B11" s="6" t="s">
        <v>66</v>
      </c>
      <c r="C11" s="15">
        <f>ROUND(SUMIFS(col_SF,col_Data,MesRef)-SUMPRODUCT(SUMIFS(col_SF,col_Data,MesRef,col_Fonte,cad_Fontes)),2)</f>
        <v>0</v>
      </c>
      <c r="D11" s="6" t="s">
        <v>67</v>
      </c>
      <c r="E11" s="14" t="str">
        <f>IF(ABS(C11)&lt;0.01,"OK","ERRO")</f>
        <v>OK</v>
      </c>
    </row>
    <row r="12" spans="1:5" x14ac:dyDescent="0.25">
      <c r="A12" s="6">
        <v>5</v>
      </c>
      <c r="B12" s="6" t="s">
        <v>68</v>
      </c>
      <c r="C12" s="6">
        <f>SUMPRODUCT((col_Data=MesRef)*(COUNTIF(cad_Inst,col_Inst)=0))</f>
        <v>0</v>
      </c>
      <c r="D12" s="6" t="s">
        <v>65</v>
      </c>
      <c r="E12" s="14" t="str">
        <f>IF(C12=0,"OK","ERRO")</f>
        <v>OK</v>
      </c>
    </row>
    <row r="13" spans="1:5" x14ac:dyDescent="0.25">
      <c r="A13" s="6">
        <v>6</v>
      </c>
      <c r="B13" s="6" t="s">
        <v>69</v>
      </c>
      <c r="C13" s="6">
        <f>SUMPRODUCT((col_Data=MesRef)*(COUNTIF(cad_Mod,col_Mod)=0))</f>
        <v>0</v>
      </c>
      <c r="D13" s="6" t="s">
        <v>65</v>
      </c>
      <c r="E13" s="14" t="str">
        <f>IF(C13=0,"OK","ERRO")</f>
        <v>OK</v>
      </c>
    </row>
    <row r="14" spans="1:5" x14ac:dyDescent="0.25">
      <c r="A14" s="6">
        <v>7</v>
      </c>
      <c r="B14" s="6" t="s">
        <v>70</v>
      </c>
      <c r="C14" s="6">
        <f>SUMPRODUCT((col_Data=MesRef)*(ABS(col_Mov)&gt;0.01))</f>
        <v>0</v>
      </c>
      <c r="D14" s="6" t="s">
        <v>71</v>
      </c>
      <c r="E14" s="14" t="str">
        <f>IF(C14=0,"OK","ERRO")</f>
        <v>OK</v>
      </c>
    </row>
    <row r="15" spans="1:5" x14ac:dyDescent="0.25">
      <c r="A15" s="6">
        <v>8</v>
      </c>
      <c r="B15" s="6" t="s">
        <v>72</v>
      </c>
      <c r="C15" s="15">
        <f>IF(COUNTIF(col_Data,MesAnt)=0,"sem mês ant.",ROUND(SUMIFS(col_SA,col_Data,MesRef)-SUMIFS(col_SF,col_Data,MesAnt),2))</f>
        <v>0</v>
      </c>
      <c r="D15" s="6" t="s">
        <v>73</v>
      </c>
      <c r="E15" s="14" t="str">
        <f>IF(ISNUMBER(C15),IF(ABS(C15)&lt;=TolContinuidade,"OK","ALERTA"),"ALERTA")</f>
        <v>OK</v>
      </c>
    </row>
    <row r="16" spans="1:5" x14ac:dyDescent="0.25">
      <c r="A16" s="6">
        <v>9</v>
      </c>
      <c r="B16" s="6" t="s">
        <v>74</v>
      </c>
      <c r="C16" s="16">
        <f>IFERROR(INDEX(ind_Orig,MATCH(MesRef,ind_Mes,0)),"não localizada")</f>
        <v>45747</v>
      </c>
      <c r="D16" s="6" t="s">
        <v>75</v>
      </c>
      <c r="E16" s="14" t="str">
        <f>IF(ISNUMBER(C16),IF(WEEKDAY(C16,2)&lt;=5,"OK","ALERTA"),"ALERTA")</f>
        <v>OK</v>
      </c>
    </row>
    <row r="17" spans="1:5" x14ac:dyDescent="0.25">
      <c r="A17" s="6">
        <v>10</v>
      </c>
      <c r="B17" s="6" t="s">
        <v>76</v>
      </c>
      <c r="C17" s="6">
        <f>SUMPRODUCT((col_Data=MesRef)*(col_Rend&lt;0))</f>
        <v>0</v>
      </c>
      <c r="D17" s="6" t="s">
        <v>77</v>
      </c>
      <c r="E17" s="14" t="str">
        <f>IF(C17=0,"OK","ALERTA")</f>
        <v>OK</v>
      </c>
    </row>
    <row r="18" spans="1:5" x14ac:dyDescent="0.25">
      <c r="A18" s="6">
        <v>11</v>
      </c>
      <c r="B18" s="6" t="s">
        <v>78</v>
      </c>
      <c r="C18" s="6">
        <f>COUNTIF(col_Data,MesAnt)</f>
        <v>28</v>
      </c>
      <c r="D18" s="6" t="s">
        <v>63</v>
      </c>
      <c r="E18" s="14" t="str">
        <f>IF(C18&gt;0,"OK","ALERTA")</f>
        <v>OK</v>
      </c>
    </row>
    <row r="19" spans="1:5" x14ac:dyDescent="0.25">
      <c r="A19" s="6">
        <v>12</v>
      </c>
      <c r="B19" s="6" t="s">
        <v>79</v>
      </c>
      <c r="C19" s="8">
        <f>IFERROR(INDEX(ind_CDI,MATCH(MesRef,ind_Mes,0)),"não localizado")</f>
        <v>9.7000000000000003E-3</v>
      </c>
      <c r="D19" s="6" t="s">
        <v>80</v>
      </c>
      <c r="E19" s="14" t="str">
        <f>IF(AND(ISNUMBER(C19),C19&lt;&gt;0),"OK","ERRO")</f>
        <v>OK</v>
      </c>
    </row>
  </sheetData>
  <conditionalFormatting sqref="E8:E19">
    <cfRule type="cellIs" dxfId="2" priority="1" operator="equal">
      <formula>"ERRO"</formula>
    </cfRule>
    <cfRule type="cellIs" dxfId="1" priority="2" operator="equal">
      <formula>"ALERTA"</formula>
    </cfRule>
    <cfRule type="cellIs" dxfId="0" priority="3" operator="equal">
      <formula>"OK"</formula>
    </cfRule>
  </conditionalFormatting>
  <pageMargins left="0.75" right="0.75" top="1" bottom="1" header="0.5" footer="0.5"/>
  <pageSetup paperSize="9" fitToHeight="0" orientation="portrait"/>
  <headerFooter>
    <oddFooter>&amp;CPágina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8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54" x14ac:dyDescent="0.25">
      <c r="A1" t="s">
        <v>81</v>
      </c>
      <c r="B1" t="s">
        <v>82</v>
      </c>
      <c r="C1" t="s">
        <v>36</v>
      </c>
      <c r="D1" t="s">
        <v>83</v>
      </c>
      <c r="E1" t="s">
        <v>84</v>
      </c>
      <c r="F1" t="s">
        <v>47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20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110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116</v>
      </c>
      <c r="AN1" t="s">
        <v>117</v>
      </c>
      <c r="AO1" t="s">
        <v>118</v>
      </c>
      <c r="AP1" t="s">
        <v>119</v>
      </c>
      <c r="AQ1" t="s">
        <v>120</v>
      </c>
      <c r="AR1" t="s">
        <v>121</v>
      </c>
      <c r="AS1" t="s">
        <v>122</v>
      </c>
      <c r="AT1" t="s">
        <v>123</v>
      </c>
      <c r="AU1" t="s">
        <v>124</v>
      </c>
      <c r="AV1" t="s">
        <v>125</v>
      </c>
      <c r="AW1" t="s">
        <v>126</v>
      </c>
      <c r="AX1" t="s">
        <v>127</v>
      </c>
      <c r="AY1" t="s">
        <v>59</v>
      </c>
      <c r="AZ1" t="s">
        <v>128</v>
      </c>
      <c r="BA1" t="s">
        <v>129</v>
      </c>
      <c r="BB1" t="s">
        <v>130</v>
      </c>
    </row>
    <row r="2" spans="1:54" x14ac:dyDescent="0.25">
      <c r="A2" s="17">
        <v>45688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>
        <v>0.9274</v>
      </c>
      <c r="K2" s="17">
        <v>45635</v>
      </c>
      <c r="L2" s="17">
        <v>46117</v>
      </c>
      <c r="M2" t="s">
        <v>138</v>
      </c>
      <c r="N2" t="s">
        <v>139</v>
      </c>
      <c r="O2" s="18">
        <v>2235839.94</v>
      </c>
      <c r="P2" s="18">
        <v>0</v>
      </c>
      <c r="Q2" s="18">
        <v>0</v>
      </c>
      <c r="R2" s="18">
        <v>0</v>
      </c>
      <c r="S2" s="18">
        <v>19698.419999999998</v>
      </c>
      <c r="T2" s="18">
        <v>2255538.36</v>
      </c>
      <c r="U2" s="18">
        <v>0</v>
      </c>
      <c r="V2" s="18">
        <v>0</v>
      </c>
      <c r="W2" s="18">
        <v>0</v>
      </c>
      <c r="X2" s="18">
        <v>0</v>
      </c>
      <c r="Y2" s="18">
        <v>2255538.36</v>
      </c>
      <c r="Z2">
        <v>8.8100000000000001E-3</v>
      </c>
      <c r="AA2">
        <v>0.9274</v>
      </c>
      <c r="AD2">
        <v>9.4999999999999998E-3</v>
      </c>
      <c r="AG2">
        <v>3.0000000000000001E-3</v>
      </c>
      <c r="AH2">
        <v>22</v>
      </c>
      <c r="AI2">
        <v>429</v>
      </c>
      <c r="AJ2" t="s">
        <v>140</v>
      </c>
      <c r="AK2" t="s">
        <v>141</v>
      </c>
      <c r="AL2">
        <v>0</v>
      </c>
      <c r="AM2" t="s">
        <v>142</v>
      </c>
      <c r="AN2" t="s">
        <v>142</v>
      </c>
      <c r="AO2" t="s">
        <v>143</v>
      </c>
      <c r="AP2" t="s">
        <v>134</v>
      </c>
      <c r="AQ2" t="s">
        <v>144</v>
      </c>
      <c r="AR2" t="s">
        <v>145</v>
      </c>
      <c r="AS2" t="s">
        <v>138</v>
      </c>
      <c r="AT2">
        <v>0</v>
      </c>
      <c r="AU2" t="s">
        <v>146</v>
      </c>
      <c r="AW2" t="s">
        <v>147</v>
      </c>
      <c r="AX2" s="17">
        <v>45688</v>
      </c>
      <c r="AY2" t="s">
        <v>148</v>
      </c>
      <c r="AZ2" t="s">
        <v>149</v>
      </c>
      <c r="BA2" s="18">
        <f t="shared" ref="BA2:BA33" si="0">ROUND(T2-(O2+P2-Q2-R2+S2-IF(AK2="S",U2+V2,0)),2)</f>
        <v>0</v>
      </c>
      <c r="BB2" s="18">
        <f t="shared" ref="BB2:BB33" si="1">(O2+T2)/2</f>
        <v>2245689.15</v>
      </c>
    </row>
    <row r="3" spans="1:54" x14ac:dyDescent="0.25">
      <c r="A3" s="17">
        <v>45688</v>
      </c>
      <c r="B3" t="s">
        <v>150</v>
      </c>
      <c r="C3" t="s">
        <v>151</v>
      </c>
      <c r="D3" t="s">
        <v>152</v>
      </c>
      <c r="E3" t="s">
        <v>153</v>
      </c>
      <c r="F3" t="s">
        <v>135</v>
      </c>
      <c r="G3" t="s">
        <v>154</v>
      </c>
      <c r="H3" t="s">
        <v>137</v>
      </c>
      <c r="I3">
        <v>0.92210000000000003</v>
      </c>
      <c r="K3" s="17">
        <v>45475</v>
      </c>
      <c r="L3" s="17">
        <v>45695</v>
      </c>
      <c r="M3" t="s">
        <v>138</v>
      </c>
      <c r="N3" t="s">
        <v>155</v>
      </c>
      <c r="O3" s="18">
        <v>1425050.4</v>
      </c>
      <c r="P3" s="18">
        <v>0</v>
      </c>
      <c r="Q3" s="18">
        <v>0</v>
      </c>
      <c r="R3" s="18">
        <v>0</v>
      </c>
      <c r="S3" s="18">
        <v>12483.37</v>
      </c>
      <c r="T3" s="18">
        <v>1437533.77</v>
      </c>
      <c r="U3" s="18">
        <v>0</v>
      </c>
      <c r="V3" s="18">
        <v>0</v>
      </c>
      <c r="W3" s="18">
        <v>0</v>
      </c>
      <c r="X3" s="18">
        <v>0</v>
      </c>
      <c r="Y3" s="18">
        <v>1437533.77</v>
      </c>
      <c r="Z3">
        <v>8.7600000000000004E-3</v>
      </c>
      <c r="AA3">
        <v>0.92210000000000003</v>
      </c>
      <c r="AD3">
        <v>9.4999999999999998E-3</v>
      </c>
      <c r="AG3">
        <v>3.0000000000000001E-3</v>
      </c>
      <c r="AH3">
        <v>22</v>
      </c>
      <c r="AI3">
        <v>7</v>
      </c>
      <c r="AJ3" t="s">
        <v>156</v>
      </c>
      <c r="AK3" t="s">
        <v>141</v>
      </c>
      <c r="AL3">
        <v>0</v>
      </c>
      <c r="AM3" t="s">
        <v>142</v>
      </c>
      <c r="AN3" t="s">
        <v>142</v>
      </c>
      <c r="AO3" t="s">
        <v>157</v>
      </c>
      <c r="AP3" t="s">
        <v>153</v>
      </c>
      <c r="AQ3" t="s">
        <v>144</v>
      </c>
      <c r="AR3" t="s">
        <v>158</v>
      </c>
      <c r="AS3" t="s">
        <v>138</v>
      </c>
      <c r="AT3">
        <v>0</v>
      </c>
      <c r="AU3" t="s">
        <v>146</v>
      </c>
      <c r="AW3" t="s">
        <v>147</v>
      </c>
      <c r="AX3" s="17">
        <v>45688</v>
      </c>
      <c r="AY3" t="s">
        <v>148</v>
      </c>
      <c r="AZ3" t="s">
        <v>159</v>
      </c>
      <c r="BA3" s="18">
        <f t="shared" si="0"/>
        <v>0</v>
      </c>
      <c r="BB3" s="18">
        <f t="shared" si="1"/>
        <v>1431292.085</v>
      </c>
    </row>
    <row r="4" spans="1:54" x14ac:dyDescent="0.25">
      <c r="A4" s="17">
        <v>45688</v>
      </c>
      <c r="B4" t="s">
        <v>160</v>
      </c>
      <c r="C4" t="s">
        <v>151</v>
      </c>
      <c r="D4" t="s">
        <v>161</v>
      </c>
      <c r="E4" t="s">
        <v>162</v>
      </c>
      <c r="F4" t="s">
        <v>163</v>
      </c>
      <c r="G4" t="s">
        <v>164</v>
      </c>
      <c r="H4" t="s">
        <v>165</v>
      </c>
      <c r="J4">
        <v>4.7999999999999996E-3</v>
      </c>
      <c r="K4" s="17">
        <v>45523</v>
      </c>
      <c r="L4" s="17">
        <v>46412</v>
      </c>
      <c r="M4" t="s">
        <v>138</v>
      </c>
      <c r="N4" t="s">
        <v>139</v>
      </c>
      <c r="O4" s="18">
        <v>430924.77</v>
      </c>
      <c r="P4" s="18">
        <v>0</v>
      </c>
      <c r="Q4" s="18">
        <v>195947.51999999999</v>
      </c>
      <c r="R4" s="18">
        <v>8618.5</v>
      </c>
      <c r="S4" s="18">
        <v>2597.02</v>
      </c>
      <c r="T4" s="18">
        <v>228955.77</v>
      </c>
      <c r="U4" s="18">
        <v>0</v>
      </c>
      <c r="V4" s="18">
        <v>0</v>
      </c>
      <c r="W4" s="18">
        <v>389.55</v>
      </c>
      <c r="X4" s="18">
        <v>0</v>
      </c>
      <c r="Y4" s="18">
        <v>228566.22</v>
      </c>
      <c r="Z4">
        <v>6.0270000000000002E-3</v>
      </c>
      <c r="AA4">
        <v>0.63439999999999996</v>
      </c>
      <c r="AD4">
        <v>9.4999999999999998E-3</v>
      </c>
      <c r="AG4">
        <v>3.0000000000000001E-3</v>
      </c>
      <c r="AH4">
        <v>22</v>
      </c>
      <c r="AI4">
        <v>724</v>
      </c>
      <c r="AJ4" t="s">
        <v>140</v>
      </c>
      <c r="AK4" t="s">
        <v>141</v>
      </c>
      <c r="AL4">
        <v>0.15</v>
      </c>
      <c r="AM4" t="s">
        <v>141</v>
      </c>
      <c r="AN4" t="s">
        <v>141</v>
      </c>
      <c r="AO4" t="s">
        <v>157</v>
      </c>
      <c r="AP4" t="s">
        <v>162</v>
      </c>
      <c r="AQ4" t="s">
        <v>144</v>
      </c>
      <c r="AR4" t="s">
        <v>166</v>
      </c>
      <c r="AS4" t="s">
        <v>138</v>
      </c>
      <c r="AT4">
        <v>0</v>
      </c>
      <c r="AU4" t="s">
        <v>146</v>
      </c>
      <c r="AW4" t="s">
        <v>147</v>
      </c>
      <c r="AX4" s="17">
        <v>45688</v>
      </c>
      <c r="AY4" t="s">
        <v>148</v>
      </c>
      <c r="AZ4" t="s">
        <v>167</v>
      </c>
      <c r="BA4" s="18">
        <f t="shared" si="0"/>
        <v>0</v>
      </c>
      <c r="BB4" s="18">
        <f t="shared" si="1"/>
        <v>329940.27</v>
      </c>
    </row>
    <row r="5" spans="1:54" x14ac:dyDescent="0.25">
      <c r="A5" s="17">
        <v>45688</v>
      </c>
      <c r="B5" t="s">
        <v>168</v>
      </c>
      <c r="C5" t="s">
        <v>169</v>
      </c>
      <c r="D5" t="s">
        <v>170</v>
      </c>
      <c r="E5" t="s">
        <v>134</v>
      </c>
      <c r="F5" t="s">
        <v>171</v>
      </c>
      <c r="G5" t="s">
        <v>172</v>
      </c>
      <c r="H5" t="s">
        <v>137</v>
      </c>
      <c r="I5">
        <v>1.0061</v>
      </c>
      <c r="K5" s="17">
        <v>45335</v>
      </c>
      <c r="L5" s="17">
        <v>45836</v>
      </c>
      <c r="M5" t="s">
        <v>138</v>
      </c>
      <c r="N5" t="s">
        <v>155</v>
      </c>
      <c r="O5" s="18">
        <v>1837842.88</v>
      </c>
      <c r="P5" s="18">
        <v>0</v>
      </c>
      <c r="Q5" s="18">
        <v>0</v>
      </c>
      <c r="R5" s="18">
        <v>0</v>
      </c>
      <c r="S5" s="18">
        <v>17566.009999999998</v>
      </c>
      <c r="T5" s="18">
        <v>1855408.89</v>
      </c>
      <c r="U5" s="18">
        <v>0</v>
      </c>
      <c r="V5" s="18">
        <v>0</v>
      </c>
      <c r="W5" s="18">
        <v>2634.9</v>
      </c>
      <c r="X5" s="18">
        <v>0</v>
      </c>
      <c r="Y5" s="18">
        <v>1852773.99</v>
      </c>
      <c r="Z5">
        <v>9.5580000000000005E-3</v>
      </c>
      <c r="AA5">
        <v>1.0061</v>
      </c>
      <c r="AD5">
        <v>9.4999999999999998E-3</v>
      </c>
      <c r="AG5">
        <v>3.0000000000000001E-3</v>
      </c>
      <c r="AH5">
        <v>22</v>
      </c>
      <c r="AI5">
        <v>148</v>
      </c>
      <c r="AJ5" t="s">
        <v>173</v>
      </c>
      <c r="AK5" t="s">
        <v>141</v>
      </c>
      <c r="AL5">
        <v>0.15</v>
      </c>
      <c r="AM5" t="s">
        <v>141</v>
      </c>
      <c r="AN5" t="s">
        <v>141</v>
      </c>
      <c r="AO5" t="s">
        <v>143</v>
      </c>
      <c r="AP5" t="s">
        <v>134</v>
      </c>
      <c r="AQ5" t="s">
        <v>144</v>
      </c>
      <c r="AR5" t="s">
        <v>174</v>
      </c>
      <c r="AS5" t="s">
        <v>138</v>
      </c>
      <c r="AT5">
        <v>0</v>
      </c>
      <c r="AU5" t="s">
        <v>146</v>
      </c>
      <c r="AW5" t="s">
        <v>147</v>
      </c>
      <c r="AX5" s="17">
        <v>45688</v>
      </c>
      <c r="AY5" t="s">
        <v>148</v>
      </c>
      <c r="AZ5" t="s">
        <v>175</v>
      </c>
      <c r="BA5" s="18">
        <f t="shared" si="0"/>
        <v>0</v>
      </c>
      <c r="BB5" s="18">
        <f t="shared" si="1"/>
        <v>1846625.8849999998</v>
      </c>
    </row>
    <row r="6" spans="1:54" x14ac:dyDescent="0.25">
      <c r="A6" s="17">
        <v>45688</v>
      </c>
      <c r="B6" t="s">
        <v>176</v>
      </c>
      <c r="C6" t="s">
        <v>169</v>
      </c>
      <c r="D6" t="s">
        <v>177</v>
      </c>
      <c r="E6" t="s">
        <v>178</v>
      </c>
      <c r="F6" t="s">
        <v>135</v>
      </c>
      <c r="G6" t="s">
        <v>179</v>
      </c>
      <c r="H6" t="s">
        <v>137</v>
      </c>
      <c r="I6">
        <v>0.92930000000000001</v>
      </c>
      <c r="K6" s="17">
        <v>45340</v>
      </c>
      <c r="L6" s="17">
        <v>46711</v>
      </c>
      <c r="M6" t="s">
        <v>138</v>
      </c>
      <c r="N6" t="s">
        <v>139</v>
      </c>
      <c r="O6" s="18">
        <v>162269.74</v>
      </c>
      <c r="P6" s="18">
        <v>0</v>
      </c>
      <c r="Q6" s="18">
        <v>36504.74</v>
      </c>
      <c r="R6" s="18">
        <v>0</v>
      </c>
      <c r="S6" s="18">
        <v>1271.44</v>
      </c>
      <c r="T6" s="18">
        <v>127036.44</v>
      </c>
      <c r="U6" s="18">
        <v>0</v>
      </c>
      <c r="V6" s="18">
        <v>0</v>
      </c>
      <c r="W6" s="18">
        <v>0</v>
      </c>
      <c r="X6" s="18">
        <v>0</v>
      </c>
      <c r="Y6" s="18">
        <v>127036.44</v>
      </c>
      <c r="Z6">
        <v>7.835E-3</v>
      </c>
      <c r="AA6">
        <v>0.82479999999999998</v>
      </c>
      <c r="AD6">
        <v>9.4999999999999998E-3</v>
      </c>
      <c r="AG6">
        <v>3.0000000000000001E-3</v>
      </c>
      <c r="AH6">
        <v>22</v>
      </c>
      <c r="AI6">
        <v>1023</v>
      </c>
      <c r="AJ6" t="s">
        <v>140</v>
      </c>
      <c r="AK6" t="s">
        <v>141</v>
      </c>
      <c r="AL6">
        <v>0</v>
      </c>
      <c r="AM6" t="s">
        <v>142</v>
      </c>
      <c r="AN6" t="s">
        <v>142</v>
      </c>
      <c r="AO6" t="s">
        <v>143</v>
      </c>
      <c r="AP6" t="s">
        <v>178</v>
      </c>
      <c r="AQ6" t="s">
        <v>144</v>
      </c>
      <c r="AR6" t="s">
        <v>180</v>
      </c>
      <c r="AS6" t="s">
        <v>138</v>
      </c>
      <c r="AT6">
        <v>0</v>
      </c>
      <c r="AU6" t="s">
        <v>146</v>
      </c>
      <c r="AW6" t="s">
        <v>147</v>
      </c>
      <c r="AX6" s="17">
        <v>45688</v>
      </c>
      <c r="AY6" t="s">
        <v>148</v>
      </c>
      <c r="AZ6" t="s">
        <v>181</v>
      </c>
      <c r="BA6" s="18">
        <f t="shared" si="0"/>
        <v>0</v>
      </c>
      <c r="BB6" s="18">
        <f t="shared" si="1"/>
        <v>144653.09</v>
      </c>
    </row>
    <row r="7" spans="1:54" x14ac:dyDescent="0.25">
      <c r="A7" s="17">
        <v>45688</v>
      </c>
      <c r="B7" t="s">
        <v>182</v>
      </c>
      <c r="C7" t="s">
        <v>151</v>
      </c>
      <c r="D7" t="s">
        <v>133</v>
      </c>
      <c r="E7" t="s">
        <v>183</v>
      </c>
      <c r="F7" t="s">
        <v>184</v>
      </c>
      <c r="G7" t="s">
        <v>185</v>
      </c>
      <c r="H7" t="s">
        <v>137</v>
      </c>
      <c r="I7">
        <v>0.95899999999999996</v>
      </c>
      <c r="K7" s="17">
        <v>45350</v>
      </c>
      <c r="L7" s="17"/>
      <c r="M7" t="s">
        <v>186</v>
      </c>
      <c r="N7" t="s">
        <v>155</v>
      </c>
      <c r="O7" s="18">
        <v>1160855.24</v>
      </c>
      <c r="P7" s="18">
        <v>0</v>
      </c>
      <c r="Q7" s="18">
        <v>0</v>
      </c>
      <c r="R7" s="18">
        <v>0</v>
      </c>
      <c r="S7" s="18">
        <v>10575.97</v>
      </c>
      <c r="T7" s="18">
        <v>1169844.81</v>
      </c>
      <c r="U7" s="18">
        <v>1586.4</v>
      </c>
      <c r="V7" s="18">
        <v>0</v>
      </c>
      <c r="W7" s="18">
        <v>0</v>
      </c>
      <c r="X7" s="18">
        <v>0</v>
      </c>
      <c r="Y7" s="18">
        <v>1169844.81</v>
      </c>
      <c r="Z7">
        <v>9.11E-3</v>
      </c>
      <c r="AA7">
        <v>0.95899999999999996</v>
      </c>
      <c r="AD7">
        <v>9.4999999999999998E-3</v>
      </c>
      <c r="AG7">
        <v>3.0000000000000001E-3</v>
      </c>
      <c r="AH7">
        <v>22</v>
      </c>
      <c r="AJ7" t="s">
        <v>187</v>
      </c>
      <c r="AK7" t="s">
        <v>142</v>
      </c>
      <c r="AL7">
        <v>0.15</v>
      </c>
      <c r="AM7" t="s">
        <v>141</v>
      </c>
      <c r="AN7" t="s">
        <v>141</v>
      </c>
      <c r="AO7" t="s">
        <v>157</v>
      </c>
      <c r="AP7" t="s">
        <v>183</v>
      </c>
      <c r="AQ7" t="s">
        <v>144</v>
      </c>
      <c r="AR7" t="s">
        <v>188</v>
      </c>
      <c r="AS7" t="s">
        <v>189</v>
      </c>
      <c r="AT7">
        <v>0</v>
      </c>
      <c r="AU7" t="s">
        <v>146</v>
      </c>
      <c r="AW7" t="s">
        <v>147</v>
      </c>
      <c r="AX7" s="17">
        <v>45688</v>
      </c>
      <c r="AY7" t="s">
        <v>148</v>
      </c>
      <c r="AZ7" t="s">
        <v>190</v>
      </c>
      <c r="BA7" s="18">
        <f t="shared" si="0"/>
        <v>0</v>
      </c>
      <c r="BB7" s="18">
        <f t="shared" si="1"/>
        <v>1165350.0249999999</v>
      </c>
    </row>
    <row r="8" spans="1:54" x14ac:dyDescent="0.25">
      <c r="A8" s="17">
        <v>45688</v>
      </c>
      <c r="B8" t="s">
        <v>191</v>
      </c>
      <c r="C8" t="s">
        <v>132</v>
      </c>
      <c r="D8" t="s">
        <v>133</v>
      </c>
      <c r="E8" t="s">
        <v>162</v>
      </c>
      <c r="F8" t="s">
        <v>171</v>
      </c>
      <c r="G8" t="s">
        <v>192</v>
      </c>
      <c r="H8" t="s">
        <v>137</v>
      </c>
      <c r="I8">
        <v>1.0022</v>
      </c>
      <c r="K8" s="17">
        <v>45455</v>
      </c>
      <c r="L8" s="17">
        <v>46335</v>
      </c>
      <c r="M8" t="s">
        <v>138</v>
      </c>
      <c r="N8" t="s">
        <v>139</v>
      </c>
      <c r="O8" s="18">
        <v>469289.69</v>
      </c>
      <c r="P8" s="18">
        <v>0</v>
      </c>
      <c r="Q8" s="18">
        <v>0</v>
      </c>
      <c r="R8" s="18">
        <v>0</v>
      </c>
      <c r="S8" s="18">
        <v>4468.0600000000004</v>
      </c>
      <c r="T8" s="18">
        <v>473757.75</v>
      </c>
      <c r="U8" s="18">
        <v>0</v>
      </c>
      <c r="V8" s="18">
        <v>0</v>
      </c>
      <c r="W8" s="18">
        <v>670.21</v>
      </c>
      <c r="X8" s="18">
        <v>0</v>
      </c>
      <c r="Y8" s="18">
        <v>473087.54</v>
      </c>
      <c r="Z8">
        <v>9.5209999999999999E-3</v>
      </c>
      <c r="AA8">
        <v>1.0022</v>
      </c>
      <c r="AD8">
        <v>9.4999999999999998E-3</v>
      </c>
      <c r="AG8">
        <v>3.0000000000000001E-3</v>
      </c>
      <c r="AH8">
        <v>22</v>
      </c>
      <c r="AI8">
        <v>647</v>
      </c>
      <c r="AJ8" t="s">
        <v>140</v>
      </c>
      <c r="AK8" t="s">
        <v>141</v>
      </c>
      <c r="AL8">
        <v>0.15</v>
      </c>
      <c r="AM8" t="s">
        <v>141</v>
      </c>
      <c r="AN8" t="s">
        <v>141</v>
      </c>
      <c r="AO8" t="s">
        <v>157</v>
      </c>
      <c r="AP8" t="s">
        <v>162</v>
      </c>
      <c r="AQ8" t="s">
        <v>144</v>
      </c>
      <c r="AR8" t="s">
        <v>193</v>
      </c>
      <c r="AS8" t="s">
        <v>138</v>
      </c>
      <c r="AT8">
        <v>0</v>
      </c>
      <c r="AU8" t="s">
        <v>146</v>
      </c>
      <c r="AW8" t="s">
        <v>147</v>
      </c>
      <c r="AX8" s="17">
        <v>45688</v>
      </c>
      <c r="AY8" t="s">
        <v>148</v>
      </c>
      <c r="AZ8" t="s">
        <v>194</v>
      </c>
      <c r="BA8" s="18">
        <f t="shared" si="0"/>
        <v>0</v>
      </c>
      <c r="BB8" s="18">
        <f t="shared" si="1"/>
        <v>471523.72</v>
      </c>
    </row>
    <row r="9" spans="1:54" x14ac:dyDescent="0.25">
      <c r="A9" s="17">
        <v>45688</v>
      </c>
      <c r="B9" t="s">
        <v>195</v>
      </c>
      <c r="C9" t="s">
        <v>169</v>
      </c>
      <c r="D9" t="s">
        <v>152</v>
      </c>
      <c r="E9" t="s">
        <v>162</v>
      </c>
      <c r="F9" t="s">
        <v>184</v>
      </c>
      <c r="G9" t="s">
        <v>196</v>
      </c>
      <c r="H9" t="s">
        <v>137</v>
      </c>
      <c r="I9">
        <v>0.95099999999999996</v>
      </c>
      <c r="K9" s="17">
        <v>45517</v>
      </c>
      <c r="L9" s="17"/>
      <c r="M9" t="s">
        <v>186</v>
      </c>
      <c r="N9" t="s">
        <v>155</v>
      </c>
      <c r="O9" s="18">
        <v>844492.7</v>
      </c>
      <c r="P9" s="18">
        <v>200638.22</v>
      </c>
      <c r="Q9" s="18">
        <v>0</v>
      </c>
      <c r="R9" s="18">
        <v>0</v>
      </c>
      <c r="S9" s="18">
        <v>8535.9</v>
      </c>
      <c r="T9" s="18">
        <v>1052386.44</v>
      </c>
      <c r="U9" s="18">
        <v>1280.3800000000001</v>
      </c>
      <c r="V9" s="18">
        <v>0</v>
      </c>
      <c r="W9" s="18">
        <v>0</v>
      </c>
      <c r="X9" s="18">
        <v>0</v>
      </c>
      <c r="Y9" s="18">
        <v>1052386.44</v>
      </c>
      <c r="Z9">
        <v>8.1670000000000006E-3</v>
      </c>
      <c r="AA9">
        <v>0.85970000000000002</v>
      </c>
      <c r="AD9">
        <v>9.4999999999999998E-3</v>
      </c>
      <c r="AG9">
        <v>3.0000000000000001E-3</v>
      </c>
      <c r="AH9">
        <v>22</v>
      </c>
      <c r="AJ9" t="s">
        <v>187</v>
      </c>
      <c r="AK9" t="s">
        <v>142</v>
      </c>
      <c r="AL9">
        <v>0.15</v>
      </c>
      <c r="AM9" t="s">
        <v>141</v>
      </c>
      <c r="AN9" t="s">
        <v>141</v>
      </c>
      <c r="AO9" t="s">
        <v>197</v>
      </c>
      <c r="AP9" t="s">
        <v>162</v>
      </c>
      <c r="AQ9" t="s">
        <v>144</v>
      </c>
      <c r="AR9" t="s">
        <v>198</v>
      </c>
      <c r="AS9" t="s">
        <v>189</v>
      </c>
      <c r="AT9">
        <v>0</v>
      </c>
      <c r="AU9" t="s">
        <v>146</v>
      </c>
      <c r="AW9" t="s">
        <v>147</v>
      </c>
      <c r="AX9" s="17">
        <v>45688</v>
      </c>
      <c r="AY9" t="s">
        <v>148</v>
      </c>
      <c r="AZ9" t="s">
        <v>199</v>
      </c>
      <c r="BA9" s="18">
        <f t="shared" si="0"/>
        <v>0</v>
      </c>
      <c r="BB9" s="18">
        <f t="shared" si="1"/>
        <v>948439.57</v>
      </c>
    </row>
    <row r="10" spans="1:54" x14ac:dyDescent="0.25">
      <c r="A10" s="17">
        <v>45688</v>
      </c>
      <c r="B10" t="s">
        <v>200</v>
      </c>
      <c r="C10" t="s">
        <v>151</v>
      </c>
      <c r="D10" t="s">
        <v>177</v>
      </c>
      <c r="E10" t="s">
        <v>162</v>
      </c>
      <c r="F10" t="s">
        <v>201</v>
      </c>
      <c r="G10" t="s">
        <v>202</v>
      </c>
      <c r="H10" t="s">
        <v>137</v>
      </c>
      <c r="I10">
        <v>1.0439000000000001</v>
      </c>
      <c r="K10" s="17">
        <v>45317</v>
      </c>
      <c r="L10" s="17">
        <v>46577</v>
      </c>
      <c r="M10" t="s">
        <v>138</v>
      </c>
      <c r="N10" t="s">
        <v>139</v>
      </c>
      <c r="O10" s="18">
        <v>1439591.13</v>
      </c>
      <c r="P10" s="18">
        <v>0</v>
      </c>
      <c r="Q10" s="18">
        <v>0</v>
      </c>
      <c r="R10" s="18">
        <v>0</v>
      </c>
      <c r="S10" s="18">
        <v>14276.5</v>
      </c>
      <c r="T10" s="18">
        <v>1453867.63</v>
      </c>
      <c r="U10" s="18">
        <v>0</v>
      </c>
      <c r="V10" s="18">
        <v>0</v>
      </c>
      <c r="W10" s="18">
        <v>2141.4699999999998</v>
      </c>
      <c r="X10" s="18">
        <v>0</v>
      </c>
      <c r="Y10" s="18">
        <v>1451726.16</v>
      </c>
      <c r="Z10">
        <v>9.9170000000000005E-3</v>
      </c>
      <c r="AA10">
        <v>1.0439000000000001</v>
      </c>
      <c r="AD10">
        <v>9.4999999999999998E-3</v>
      </c>
      <c r="AG10">
        <v>3.0000000000000001E-3</v>
      </c>
      <c r="AH10">
        <v>22</v>
      </c>
      <c r="AI10">
        <v>889</v>
      </c>
      <c r="AJ10" t="s">
        <v>140</v>
      </c>
      <c r="AK10" t="s">
        <v>141</v>
      </c>
      <c r="AL10">
        <v>0.15</v>
      </c>
      <c r="AM10" t="s">
        <v>141</v>
      </c>
      <c r="AN10" t="s">
        <v>142</v>
      </c>
      <c r="AO10" t="s">
        <v>157</v>
      </c>
      <c r="AP10" t="s">
        <v>162</v>
      </c>
      <c r="AQ10" t="s">
        <v>144</v>
      </c>
      <c r="AR10" t="s">
        <v>203</v>
      </c>
      <c r="AS10" t="s">
        <v>138</v>
      </c>
      <c r="AT10">
        <v>0</v>
      </c>
      <c r="AU10" t="s">
        <v>146</v>
      </c>
      <c r="AW10" t="s">
        <v>147</v>
      </c>
      <c r="AX10" s="17">
        <v>45688</v>
      </c>
      <c r="AY10" t="s">
        <v>148</v>
      </c>
      <c r="AZ10" t="s">
        <v>204</v>
      </c>
      <c r="BA10" s="18">
        <f t="shared" si="0"/>
        <v>0</v>
      </c>
      <c r="BB10" s="18">
        <f t="shared" si="1"/>
        <v>1446729.38</v>
      </c>
    </row>
    <row r="11" spans="1:54" x14ac:dyDescent="0.25">
      <c r="A11" s="17">
        <v>45688</v>
      </c>
      <c r="B11" t="s">
        <v>205</v>
      </c>
      <c r="C11" t="s">
        <v>151</v>
      </c>
      <c r="D11" t="s">
        <v>170</v>
      </c>
      <c r="E11" t="s">
        <v>162</v>
      </c>
      <c r="F11" t="s">
        <v>171</v>
      </c>
      <c r="G11" t="s">
        <v>192</v>
      </c>
      <c r="H11" t="s">
        <v>137</v>
      </c>
      <c r="I11">
        <v>0.99280000000000002</v>
      </c>
      <c r="K11" s="17">
        <v>45612</v>
      </c>
      <c r="L11" s="17">
        <v>47072</v>
      </c>
      <c r="M11" t="s">
        <v>138</v>
      </c>
      <c r="N11" t="s">
        <v>139</v>
      </c>
      <c r="O11" s="18">
        <v>1875223.01</v>
      </c>
      <c r="P11" s="18">
        <v>0</v>
      </c>
      <c r="Q11" s="18">
        <v>0</v>
      </c>
      <c r="R11" s="18">
        <v>0</v>
      </c>
      <c r="S11" s="18">
        <v>17686.349999999999</v>
      </c>
      <c r="T11" s="18">
        <v>1892909.36</v>
      </c>
      <c r="U11" s="18">
        <v>0</v>
      </c>
      <c r="V11" s="18">
        <v>0</v>
      </c>
      <c r="W11" s="18">
        <v>2652.95</v>
      </c>
      <c r="X11" s="18">
        <v>0</v>
      </c>
      <c r="Y11" s="18">
        <v>1890256.41</v>
      </c>
      <c r="Z11">
        <v>9.4319999999999994E-3</v>
      </c>
      <c r="AA11">
        <v>0.99280000000000002</v>
      </c>
      <c r="AD11">
        <v>9.4999999999999998E-3</v>
      </c>
      <c r="AG11">
        <v>3.0000000000000001E-3</v>
      </c>
      <c r="AH11">
        <v>22</v>
      </c>
      <c r="AI11">
        <v>1384</v>
      </c>
      <c r="AJ11" t="s">
        <v>140</v>
      </c>
      <c r="AK11" t="s">
        <v>141</v>
      </c>
      <c r="AL11">
        <v>0.15</v>
      </c>
      <c r="AM11" t="s">
        <v>141</v>
      </c>
      <c r="AN11" t="s">
        <v>141</v>
      </c>
      <c r="AO11" t="s">
        <v>143</v>
      </c>
      <c r="AP11" t="s">
        <v>162</v>
      </c>
      <c r="AQ11" t="s">
        <v>144</v>
      </c>
      <c r="AR11" t="s">
        <v>206</v>
      </c>
      <c r="AS11" t="s">
        <v>138</v>
      </c>
      <c r="AT11">
        <v>0</v>
      </c>
      <c r="AU11" t="s">
        <v>146</v>
      </c>
      <c r="AW11" t="s">
        <v>147</v>
      </c>
      <c r="AX11" s="17">
        <v>45688</v>
      </c>
      <c r="AY11" t="s">
        <v>148</v>
      </c>
      <c r="AZ11" t="s">
        <v>207</v>
      </c>
      <c r="BA11" s="18">
        <f t="shared" si="0"/>
        <v>0</v>
      </c>
      <c r="BB11" s="18">
        <f t="shared" si="1"/>
        <v>1884066.1850000001</v>
      </c>
    </row>
    <row r="12" spans="1:54" x14ac:dyDescent="0.25">
      <c r="A12" s="17">
        <v>45688</v>
      </c>
      <c r="B12" t="s">
        <v>208</v>
      </c>
      <c r="C12" t="s">
        <v>169</v>
      </c>
      <c r="D12" t="s">
        <v>209</v>
      </c>
      <c r="E12" t="s">
        <v>153</v>
      </c>
      <c r="F12" t="s">
        <v>210</v>
      </c>
      <c r="G12" t="s">
        <v>211</v>
      </c>
      <c r="H12" t="s">
        <v>137</v>
      </c>
      <c r="I12">
        <v>0.2329</v>
      </c>
      <c r="K12" s="17">
        <v>45492</v>
      </c>
      <c r="L12" s="17"/>
      <c r="M12" t="s">
        <v>186</v>
      </c>
      <c r="N12" t="s">
        <v>155</v>
      </c>
      <c r="O12" s="18">
        <v>2493967.14</v>
      </c>
      <c r="P12" s="18">
        <v>0</v>
      </c>
      <c r="Q12" s="18">
        <v>0</v>
      </c>
      <c r="R12" s="18">
        <v>0</v>
      </c>
      <c r="S12" s="18">
        <v>5518.03</v>
      </c>
      <c r="T12" s="18">
        <v>2498657.4700000002</v>
      </c>
      <c r="U12" s="18">
        <v>827.7</v>
      </c>
      <c r="V12" s="18">
        <v>0</v>
      </c>
      <c r="W12" s="18">
        <v>0</v>
      </c>
      <c r="X12" s="18">
        <v>0</v>
      </c>
      <c r="Y12" s="18">
        <v>2498657.4700000002</v>
      </c>
      <c r="Z12">
        <v>2.2130000000000001E-3</v>
      </c>
      <c r="AA12">
        <v>0.2329</v>
      </c>
      <c r="AD12">
        <v>9.4999999999999998E-3</v>
      </c>
      <c r="AG12">
        <v>3.0000000000000001E-3</v>
      </c>
      <c r="AH12">
        <v>22</v>
      </c>
      <c r="AJ12" t="s">
        <v>187</v>
      </c>
      <c r="AK12" t="s">
        <v>142</v>
      </c>
      <c r="AL12">
        <v>0.15</v>
      </c>
      <c r="AM12" t="s">
        <v>141</v>
      </c>
      <c r="AN12" t="s">
        <v>141</v>
      </c>
      <c r="AO12" t="s">
        <v>197</v>
      </c>
      <c r="AP12" t="s">
        <v>153</v>
      </c>
      <c r="AQ12" t="s">
        <v>144</v>
      </c>
      <c r="AR12" t="s">
        <v>212</v>
      </c>
      <c r="AS12" t="s">
        <v>189</v>
      </c>
      <c r="AT12">
        <v>0</v>
      </c>
      <c r="AU12" t="s">
        <v>146</v>
      </c>
      <c r="AW12" t="s">
        <v>147</v>
      </c>
      <c r="AX12" s="17">
        <v>45688</v>
      </c>
      <c r="AY12" t="s">
        <v>148</v>
      </c>
      <c r="AZ12" t="s">
        <v>213</v>
      </c>
      <c r="BA12" s="18">
        <f t="shared" si="0"/>
        <v>0</v>
      </c>
      <c r="BB12" s="18">
        <f t="shared" si="1"/>
        <v>2496312.3050000002</v>
      </c>
    </row>
    <row r="13" spans="1:54" x14ac:dyDescent="0.25">
      <c r="A13" s="17">
        <v>45688</v>
      </c>
      <c r="B13" t="s">
        <v>214</v>
      </c>
      <c r="C13" t="s">
        <v>151</v>
      </c>
      <c r="D13" t="s">
        <v>215</v>
      </c>
      <c r="E13" t="s">
        <v>134</v>
      </c>
      <c r="F13" t="s">
        <v>216</v>
      </c>
      <c r="G13" t="s">
        <v>217</v>
      </c>
      <c r="H13" t="s">
        <v>137</v>
      </c>
      <c r="I13">
        <v>0.86270000000000002</v>
      </c>
      <c r="K13" s="17">
        <v>45319</v>
      </c>
      <c r="L13" s="17"/>
      <c r="M13" t="s">
        <v>186</v>
      </c>
      <c r="N13" t="s">
        <v>155</v>
      </c>
      <c r="O13" s="18">
        <v>1990594.44</v>
      </c>
      <c r="P13" s="18">
        <v>0</v>
      </c>
      <c r="Q13" s="18">
        <v>0</v>
      </c>
      <c r="R13" s="18">
        <v>0</v>
      </c>
      <c r="S13" s="18">
        <v>16314.22</v>
      </c>
      <c r="T13" s="18">
        <v>2006908.66</v>
      </c>
      <c r="U13" s="18">
        <v>0</v>
      </c>
      <c r="V13" s="18">
        <v>0</v>
      </c>
      <c r="W13" s="18">
        <v>2447.13</v>
      </c>
      <c r="X13" s="18">
        <v>0</v>
      </c>
      <c r="Y13" s="18">
        <v>2004461.53</v>
      </c>
      <c r="Z13">
        <v>8.1960000000000002E-3</v>
      </c>
      <c r="AA13">
        <v>0.86270000000000002</v>
      </c>
      <c r="AD13">
        <v>9.4999999999999998E-3</v>
      </c>
      <c r="AG13">
        <v>3.0000000000000001E-3</v>
      </c>
      <c r="AH13">
        <v>22</v>
      </c>
      <c r="AJ13" t="s">
        <v>187</v>
      </c>
      <c r="AK13" t="s">
        <v>141</v>
      </c>
      <c r="AL13">
        <v>0.15</v>
      </c>
      <c r="AM13" t="s">
        <v>141</v>
      </c>
      <c r="AN13" t="s">
        <v>141</v>
      </c>
      <c r="AO13" t="s">
        <v>143</v>
      </c>
      <c r="AP13" t="s">
        <v>134</v>
      </c>
      <c r="AQ13" t="s">
        <v>144</v>
      </c>
      <c r="AR13" t="s">
        <v>218</v>
      </c>
      <c r="AS13" t="s">
        <v>189</v>
      </c>
      <c r="AT13">
        <v>0</v>
      </c>
      <c r="AU13" t="s">
        <v>146</v>
      </c>
      <c r="AW13" t="s">
        <v>147</v>
      </c>
      <c r="AX13" s="17">
        <v>45688</v>
      </c>
      <c r="AY13" t="s">
        <v>148</v>
      </c>
      <c r="AZ13" t="s">
        <v>219</v>
      </c>
      <c r="BA13" s="18">
        <f t="shared" si="0"/>
        <v>0</v>
      </c>
      <c r="BB13" s="18">
        <f t="shared" si="1"/>
        <v>1998751.5499999998</v>
      </c>
    </row>
    <row r="14" spans="1:54" x14ac:dyDescent="0.25">
      <c r="A14" s="17">
        <v>45688</v>
      </c>
      <c r="B14" t="s">
        <v>220</v>
      </c>
      <c r="C14" t="s">
        <v>132</v>
      </c>
      <c r="D14" t="s">
        <v>170</v>
      </c>
      <c r="E14" t="s">
        <v>153</v>
      </c>
      <c r="F14" t="s">
        <v>163</v>
      </c>
      <c r="G14" t="s">
        <v>221</v>
      </c>
      <c r="H14" t="s">
        <v>165</v>
      </c>
      <c r="J14">
        <v>5.4999999999999997E-3</v>
      </c>
      <c r="K14" s="17">
        <v>45335</v>
      </c>
      <c r="L14" s="17">
        <v>47041</v>
      </c>
      <c r="M14" t="s">
        <v>138</v>
      </c>
      <c r="N14" t="s">
        <v>139</v>
      </c>
      <c r="O14" s="18">
        <v>2158910.27</v>
      </c>
      <c r="P14" s="18">
        <v>0</v>
      </c>
      <c r="Q14" s="18">
        <v>0</v>
      </c>
      <c r="R14" s="18">
        <v>43178.21</v>
      </c>
      <c r="S14" s="18">
        <v>18350.740000000002</v>
      </c>
      <c r="T14" s="18">
        <v>2134082.7999999998</v>
      </c>
      <c r="U14" s="18">
        <v>0</v>
      </c>
      <c r="V14" s="18">
        <v>0</v>
      </c>
      <c r="W14" s="18">
        <v>2752.61</v>
      </c>
      <c r="X14" s="18">
        <v>0</v>
      </c>
      <c r="Y14" s="18">
        <v>2131330.19</v>
      </c>
      <c r="Z14">
        <v>8.5000000000000006E-3</v>
      </c>
      <c r="AA14">
        <v>0.89470000000000005</v>
      </c>
      <c r="AD14">
        <v>9.4999999999999998E-3</v>
      </c>
      <c r="AG14">
        <v>3.0000000000000001E-3</v>
      </c>
      <c r="AH14">
        <v>22</v>
      </c>
      <c r="AI14">
        <v>1353</v>
      </c>
      <c r="AJ14" t="s">
        <v>140</v>
      </c>
      <c r="AK14" t="s">
        <v>141</v>
      </c>
      <c r="AL14">
        <v>0.15</v>
      </c>
      <c r="AM14" t="s">
        <v>141</v>
      </c>
      <c r="AN14" t="s">
        <v>141</v>
      </c>
      <c r="AO14" t="s">
        <v>143</v>
      </c>
      <c r="AP14" t="s">
        <v>153</v>
      </c>
      <c r="AQ14" t="s">
        <v>144</v>
      </c>
      <c r="AR14" t="s">
        <v>222</v>
      </c>
      <c r="AS14" t="s">
        <v>138</v>
      </c>
      <c r="AT14">
        <v>0</v>
      </c>
      <c r="AU14" t="s">
        <v>146</v>
      </c>
      <c r="AW14" t="s">
        <v>147</v>
      </c>
      <c r="AX14" s="17">
        <v>45688</v>
      </c>
      <c r="AY14" t="s">
        <v>148</v>
      </c>
      <c r="AZ14" t="s">
        <v>223</v>
      </c>
      <c r="BA14" s="18">
        <f t="shared" si="0"/>
        <v>0</v>
      </c>
      <c r="BB14" s="18">
        <f t="shared" si="1"/>
        <v>2146496.5350000001</v>
      </c>
    </row>
    <row r="15" spans="1:54" x14ac:dyDescent="0.25">
      <c r="A15" s="17">
        <v>45688</v>
      </c>
      <c r="B15" t="s">
        <v>224</v>
      </c>
      <c r="C15" t="s">
        <v>151</v>
      </c>
      <c r="D15" t="s">
        <v>170</v>
      </c>
      <c r="E15" t="s">
        <v>134</v>
      </c>
      <c r="F15" t="s">
        <v>201</v>
      </c>
      <c r="G15" t="s">
        <v>225</v>
      </c>
      <c r="H15" t="s">
        <v>137</v>
      </c>
      <c r="I15">
        <v>1.0104</v>
      </c>
      <c r="K15" s="17">
        <v>45614</v>
      </c>
      <c r="L15" s="17">
        <v>46702</v>
      </c>
      <c r="M15" t="s">
        <v>138</v>
      </c>
      <c r="N15" t="s">
        <v>139</v>
      </c>
      <c r="O15" s="18">
        <v>1161623.08</v>
      </c>
      <c r="P15" s="18">
        <v>71814.75</v>
      </c>
      <c r="Q15" s="18">
        <v>0</v>
      </c>
      <c r="R15" s="18">
        <v>0</v>
      </c>
      <c r="S15" s="18">
        <v>11494.86</v>
      </c>
      <c r="T15" s="18">
        <v>1244932.69</v>
      </c>
      <c r="U15" s="18">
        <v>0</v>
      </c>
      <c r="V15" s="18">
        <v>0</v>
      </c>
      <c r="W15" s="18">
        <v>1724.23</v>
      </c>
      <c r="X15" s="18">
        <v>0</v>
      </c>
      <c r="Y15" s="18">
        <v>1243208.46</v>
      </c>
      <c r="Z15">
        <v>9.3189999999999992E-3</v>
      </c>
      <c r="AA15">
        <v>0.98099999999999998</v>
      </c>
      <c r="AD15">
        <v>9.4999999999999998E-3</v>
      </c>
      <c r="AG15">
        <v>3.0000000000000001E-3</v>
      </c>
      <c r="AH15">
        <v>22</v>
      </c>
      <c r="AI15">
        <v>1014</v>
      </c>
      <c r="AJ15" t="s">
        <v>140</v>
      </c>
      <c r="AK15" t="s">
        <v>141</v>
      </c>
      <c r="AL15">
        <v>0.15</v>
      </c>
      <c r="AM15" t="s">
        <v>141</v>
      </c>
      <c r="AN15" t="s">
        <v>142</v>
      </c>
      <c r="AO15" t="s">
        <v>197</v>
      </c>
      <c r="AP15" t="s">
        <v>134</v>
      </c>
      <c r="AQ15" t="s">
        <v>144</v>
      </c>
      <c r="AR15" t="s">
        <v>226</v>
      </c>
      <c r="AS15" t="s">
        <v>138</v>
      </c>
      <c r="AT15">
        <v>0</v>
      </c>
      <c r="AU15" t="s">
        <v>146</v>
      </c>
      <c r="AW15" t="s">
        <v>147</v>
      </c>
      <c r="AX15" s="17">
        <v>45688</v>
      </c>
      <c r="AY15" t="s">
        <v>148</v>
      </c>
      <c r="AZ15" t="s">
        <v>227</v>
      </c>
      <c r="BA15" s="18">
        <f t="shared" si="0"/>
        <v>0</v>
      </c>
      <c r="BB15" s="18">
        <f t="shared" si="1"/>
        <v>1203277.885</v>
      </c>
    </row>
    <row r="16" spans="1:54" x14ac:dyDescent="0.25">
      <c r="A16" s="17">
        <v>45688</v>
      </c>
      <c r="B16" t="s">
        <v>228</v>
      </c>
      <c r="C16" t="s">
        <v>151</v>
      </c>
      <c r="D16" t="s">
        <v>170</v>
      </c>
      <c r="E16" t="s">
        <v>153</v>
      </c>
      <c r="F16" t="s">
        <v>210</v>
      </c>
      <c r="G16" t="s">
        <v>211</v>
      </c>
      <c r="H16" t="s">
        <v>137</v>
      </c>
      <c r="I16">
        <v>0.32629999999999998</v>
      </c>
      <c r="K16" s="17">
        <v>45368</v>
      </c>
      <c r="L16" s="17"/>
      <c r="M16" t="s">
        <v>186</v>
      </c>
      <c r="N16" t="s">
        <v>155</v>
      </c>
      <c r="O16" s="18">
        <v>1293774.06</v>
      </c>
      <c r="P16" s="18">
        <v>0</v>
      </c>
      <c r="Q16" s="18">
        <v>0</v>
      </c>
      <c r="R16" s="18">
        <v>0</v>
      </c>
      <c r="S16" s="18">
        <v>4010.51</v>
      </c>
      <c r="T16" s="18">
        <v>1297182.99</v>
      </c>
      <c r="U16" s="18">
        <v>601.58000000000004</v>
      </c>
      <c r="V16" s="18">
        <v>0</v>
      </c>
      <c r="W16" s="18">
        <v>0</v>
      </c>
      <c r="X16" s="18">
        <v>0</v>
      </c>
      <c r="Y16" s="18">
        <v>1297182.99</v>
      </c>
      <c r="Z16">
        <v>3.0999999999999999E-3</v>
      </c>
      <c r="AA16">
        <v>0.32629999999999998</v>
      </c>
      <c r="AD16">
        <v>9.4999999999999998E-3</v>
      </c>
      <c r="AG16">
        <v>3.0000000000000001E-3</v>
      </c>
      <c r="AH16">
        <v>22</v>
      </c>
      <c r="AJ16" t="s">
        <v>187</v>
      </c>
      <c r="AK16" t="s">
        <v>142</v>
      </c>
      <c r="AL16">
        <v>0.15</v>
      </c>
      <c r="AM16" t="s">
        <v>141</v>
      </c>
      <c r="AN16" t="s">
        <v>141</v>
      </c>
      <c r="AO16" t="s">
        <v>197</v>
      </c>
      <c r="AP16" t="s">
        <v>153</v>
      </c>
      <c r="AQ16" t="s">
        <v>144</v>
      </c>
      <c r="AR16" t="s">
        <v>229</v>
      </c>
      <c r="AS16" t="s">
        <v>189</v>
      </c>
      <c r="AT16">
        <v>0</v>
      </c>
      <c r="AU16" t="s">
        <v>146</v>
      </c>
      <c r="AW16" t="s">
        <v>147</v>
      </c>
      <c r="AX16" s="17">
        <v>45688</v>
      </c>
      <c r="AY16" t="s">
        <v>148</v>
      </c>
      <c r="AZ16" t="s">
        <v>230</v>
      </c>
      <c r="BA16" s="18">
        <f t="shared" si="0"/>
        <v>0</v>
      </c>
      <c r="BB16" s="18">
        <f t="shared" si="1"/>
        <v>1295478.5249999999</v>
      </c>
    </row>
    <row r="17" spans="1:54" x14ac:dyDescent="0.25">
      <c r="A17" s="17">
        <v>45688</v>
      </c>
      <c r="B17" t="s">
        <v>231</v>
      </c>
      <c r="C17" t="s">
        <v>151</v>
      </c>
      <c r="D17" t="s">
        <v>152</v>
      </c>
      <c r="E17" t="s">
        <v>162</v>
      </c>
      <c r="F17" t="s">
        <v>184</v>
      </c>
      <c r="G17" t="s">
        <v>196</v>
      </c>
      <c r="H17" t="s">
        <v>137</v>
      </c>
      <c r="I17">
        <v>0.98770000000000002</v>
      </c>
      <c r="K17" s="17">
        <v>45468</v>
      </c>
      <c r="L17" s="17"/>
      <c r="M17" t="s">
        <v>186</v>
      </c>
      <c r="N17" t="s">
        <v>155</v>
      </c>
      <c r="O17" s="18">
        <v>2309963.5</v>
      </c>
      <c r="P17" s="18">
        <v>0</v>
      </c>
      <c r="Q17" s="18">
        <v>0</v>
      </c>
      <c r="R17" s="18">
        <v>0</v>
      </c>
      <c r="S17" s="18">
        <v>21674.73</v>
      </c>
      <c r="T17" s="18">
        <v>2328387.02</v>
      </c>
      <c r="U17" s="18">
        <v>3251.21</v>
      </c>
      <c r="V17" s="18">
        <v>0</v>
      </c>
      <c r="W17" s="18">
        <v>0</v>
      </c>
      <c r="X17" s="18">
        <v>0</v>
      </c>
      <c r="Y17" s="18">
        <v>2328387.02</v>
      </c>
      <c r="Z17">
        <v>9.3830000000000007E-3</v>
      </c>
      <c r="AA17">
        <v>0.98770000000000002</v>
      </c>
      <c r="AD17">
        <v>9.4999999999999998E-3</v>
      </c>
      <c r="AG17">
        <v>3.0000000000000001E-3</v>
      </c>
      <c r="AH17">
        <v>22</v>
      </c>
      <c r="AJ17" t="s">
        <v>187</v>
      </c>
      <c r="AK17" t="s">
        <v>142</v>
      </c>
      <c r="AL17">
        <v>0.15</v>
      </c>
      <c r="AM17" t="s">
        <v>141</v>
      </c>
      <c r="AN17" t="s">
        <v>141</v>
      </c>
      <c r="AO17" t="s">
        <v>157</v>
      </c>
      <c r="AP17" t="s">
        <v>162</v>
      </c>
      <c r="AQ17" t="s">
        <v>144</v>
      </c>
      <c r="AR17" t="s">
        <v>232</v>
      </c>
      <c r="AS17" t="s">
        <v>189</v>
      </c>
      <c r="AT17">
        <v>0</v>
      </c>
      <c r="AU17" t="s">
        <v>146</v>
      </c>
      <c r="AW17" t="s">
        <v>147</v>
      </c>
      <c r="AX17" s="17">
        <v>45688</v>
      </c>
      <c r="AY17" t="s">
        <v>148</v>
      </c>
      <c r="AZ17" t="s">
        <v>233</v>
      </c>
      <c r="BA17" s="18">
        <f t="shared" si="0"/>
        <v>0</v>
      </c>
      <c r="BB17" s="18">
        <f t="shared" si="1"/>
        <v>2319175.2599999998</v>
      </c>
    </row>
    <row r="18" spans="1:54" x14ac:dyDescent="0.25">
      <c r="A18" s="17">
        <v>45688</v>
      </c>
      <c r="B18" t="s">
        <v>234</v>
      </c>
      <c r="C18" t="s">
        <v>169</v>
      </c>
      <c r="D18" t="s">
        <v>177</v>
      </c>
      <c r="E18" t="s">
        <v>153</v>
      </c>
      <c r="F18" t="s">
        <v>201</v>
      </c>
      <c r="G18" t="s">
        <v>235</v>
      </c>
      <c r="H18" t="s">
        <v>137</v>
      </c>
      <c r="I18">
        <v>0.98409999999999997</v>
      </c>
      <c r="K18" s="17">
        <v>45459</v>
      </c>
      <c r="L18" s="17">
        <v>45700</v>
      </c>
      <c r="M18" t="s">
        <v>138</v>
      </c>
      <c r="N18" t="s">
        <v>155</v>
      </c>
      <c r="O18" s="18">
        <v>2201123.52</v>
      </c>
      <c r="P18" s="18">
        <v>0</v>
      </c>
      <c r="Q18" s="18">
        <v>0</v>
      </c>
      <c r="R18" s="18">
        <v>0</v>
      </c>
      <c r="S18" s="18">
        <v>20578.189999999999</v>
      </c>
      <c r="T18" s="18">
        <v>2221701.71</v>
      </c>
      <c r="U18" s="18">
        <v>0</v>
      </c>
      <c r="V18" s="18">
        <v>0</v>
      </c>
      <c r="W18" s="18">
        <v>3086.73</v>
      </c>
      <c r="X18" s="18">
        <v>0</v>
      </c>
      <c r="Y18" s="18">
        <v>2218614.98</v>
      </c>
      <c r="Z18">
        <v>9.3489999999999997E-3</v>
      </c>
      <c r="AA18">
        <v>0.98409999999999997</v>
      </c>
      <c r="AD18">
        <v>9.4999999999999998E-3</v>
      </c>
      <c r="AG18">
        <v>3.0000000000000001E-3</v>
      </c>
      <c r="AH18">
        <v>22</v>
      </c>
      <c r="AI18">
        <v>12</v>
      </c>
      <c r="AJ18" t="s">
        <v>156</v>
      </c>
      <c r="AK18" t="s">
        <v>141</v>
      </c>
      <c r="AL18">
        <v>0.15</v>
      </c>
      <c r="AM18" t="s">
        <v>141</v>
      </c>
      <c r="AN18" t="s">
        <v>142</v>
      </c>
      <c r="AO18" t="s">
        <v>157</v>
      </c>
      <c r="AP18" t="s">
        <v>153</v>
      </c>
      <c r="AQ18" t="s">
        <v>144</v>
      </c>
      <c r="AR18" t="s">
        <v>236</v>
      </c>
      <c r="AS18" t="s">
        <v>138</v>
      </c>
      <c r="AT18">
        <v>0</v>
      </c>
      <c r="AU18" t="s">
        <v>146</v>
      </c>
      <c r="AW18" t="s">
        <v>147</v>
      </c>
      <c r="AX18" s="17">
        <v>45688</v>
      </c>
      <c r="AY18" t="s">
        <v>148</v>
      </c>
      <c r="AZ18" t="s">
        <v>237</v>
      </c>
      <c r="BA18" s="18">
        <f t="shared" si="0"/>
        <v>0</v>
      </c>
      <c r="BB18" s="18">
        <f t="shared" si="1"/>
        <v>2211412.6150000002</v>
      </c>
    </row>
    <row r="19" spans="1:54" x14ac:dyDescent="0.25">
      <c r="A19" s="17">
        <v>45688</v>
      </c>
      <c r="B19" t="s">
        <v>238</v>
      </c>
      <c r="C19" t="s">
        <v>151</v>
      </c>
      <c r="D19" t="s">
        <v>215</v>
      </c>
      <c r="E19" t="s">
        <v>134</v>
      </c>
      <c r="F19" t="s">
        <v>135</v>
      </c>
      <c r="G19" t="s">
        <v>136</v>
      </c>
      <c r="H19" t="s">
        <v>137</v>
      </c>
      <c r="I19">
        <v>0.92620000000000002</v>
      </c>
      <c r="K19" s="17">
        <v>45642</v>
      </c>
      <c r="L19" s="17">
        <v>45925</v>
      </c>
      <c r="M19" t="s">
        <v>138</v>
      </c>
      <c r="N19" t="s">
        <v>155</v>
      </c>
      <c r="O19" s="18">
        <v>2369779.27</v>
      </c>
      <c r="P19" s="18">
        <v>0</v>
      </c>
      <c r="Q19" s="18">
        <v>0</v>
      </c>
      <c r="R19" s="18">
        <v>0</v>
      </c>
      <c r="S19" s="18">
        <v>20851.45</v>
      </c>
      <c r="T19" s="18">
        <v>2390630.7200000002</v>
      </c>
      <c r="U19" s="18">
        <v>0</v>
      </c>
      <c r="V19" s="18">
        <v>0</v>
      </c>
      <c r="W19" s="18">
        <v>0</v>
      </c>
      <c r="X19" s="18">
        <v>0</v>
      </c>
      <c r="Y19" s="18">
        <v>2390630.7200000002</v>
      </c>
      <c r="Z19">
        <v>8.7989999999999995E-3</v>
      </c>
      <c r="AA19">
        <v>0.92620000000000002</v>
      </c>
      <c r="AD19">
        <v>9.4999999999999998E-3</v>
      </c>
      <c r="AG19">
        <v>3.0000000000000001E-3</v>
      </c>
      <c r="AH19">
        <v>22</v>
      </c>
      <c r="AI19">
        <v>237</v>
      </c>
      <c r="AJ19" t="s">
        <v>173</v>
      </c>
      <c r="AK19" t="s">
        <v>141</v>
      </c>
      <c r="AL19">
        <v>0</v>
      </c>
      <c r="AM19" t="s">
        <v>142</v>
      </c>
      <c r="AN19" t="s">
        <v>142</v>
      </c>
      <c r="AO19" t="s">
        <v>157</v>
      </c>
      <c r="AP19" t="s">
        <v>134</v>
      </c>
      <c r="AQ19" t="s">
        <v>144</v>
      </c>
      <c r="AR19" t="s">
        <v>239</v>
      </c>
      <c r="AS19" t="s">
        <v>138</v>
      </c>
      <c r="AT19">
        <v>0</v>
      </c>
      <c r="AU19" t="s">
        <v>146</v>
      </c>
      <c r="AW19" t="s">
        <v>147</v>
      </c>
      <c r="AX19" s="17">
        <v>45688</v>
      </c>
      <c r="AY19" t="s">
        <v>148</v>
      </c>
      <c r="AZ19" t="s">
        <v>240</v>
      </c>
      <c r="BA19" s="18">
        <f t="shared" si="0"/>
        <v>0</v>
      </c>
      <c r="BB19" s="18">
        <f t="shared" si="1"/>
        <v>2380204.9950000001</v>
      </c>
    </row>
    <row r="20" spans="1:54" x14ac:dyDescent="0.25">
      <c r="A20" s="17">
        <v>45688</v>
      </c>
      <c r="B20" t="s">
        <v>241</v>
      </c>
      <c r="C20" t="s">
        <v>132</v>
      </c>
      <c r="D20" t="s">
        <v>177</v>
      </c>
      <c r="E20" t="s">
        <v>183</v>
      </c>
      <c r="F20" t="s">
        <v>242</v>
      </c>
      <c r="G20" t="s">
        <v>243</v>
      </c>
      <c r="H20" t="s">
        <v>137</v>
      </c>
      <c r="I20">
        <v>0.91990000000000005</v>
      </c>
      <c r="K20" s="17">
        <v>45563</v>
      </c>
      <c r="L20" s="17">
        <v>47306</v>
      </c>
      <c r="M20" t="s">
        <v>138</v>
      </c>
      <c r="N20" t="s">
        <v>139</v>
      </c>
      <c r="O20" s="18">
        <v>1027531.13</v>
      </c>
      <c r="P20" s="18">
        <v>0</v>
      </c>
      <c r="Q20" s="18">
        <v>0</v>
      </c>
      <c r="R20" s="18">
        <v>0</v>
      </c>
      <c r="S20" s="18">
        <v>8979.65</v>
      </c>
      <c r="T20" s="18">
        <v>1036510.78</v>
      </c>
      <c r="U20" s="18">
        <v>0</v>
      </c>
      <c r="V20" s="18">
        <v>0</v>
      </c>
      <c r="W20" s="18">
        <v>0</v>
      </c>
      <c r="X20" s="18">
        <v>0</v>
      </c>
      <c r="Y20" s="18">
        <v>1036510.78</v>
      </c>
      <c r="Z20">
        <v>8.7390000000000002E-3</v>
      </c>
      <c r="AA20">
        <v>0.91990000000000005</v>
      </c>
      <c r="AD20">
        <v>9.4999999999999998E-3</v>
      </c>
      <c r="AG20">
        <v>3.0000000000000001E-3</v>
      </c>
      <c r="AH20">
        <v>22</v>
      </c>
      <c r="AI20">
        <v>1618</v>
      </c>
      <c r="AJ20" t="s">
        <v>140</v>
      </c>
      <c r="AK20" t="s">
        <v>141</v>
      </c>
      <c r="AL20">
        <v>0</v>
      </c>
      <c r="AM20" t="s">
        <v>142</v>
      </c>
      <c r="AN20" t="s">
        <v>142</v>
      </c>
      <c r="AO20" t="s">
        <v>143</v>
      </c>
      <c r="AP20" t="s">
        <v>183</v>
      </c>
      <c r="AQ20" t="s">
        <v>144</v>
      </c>
      <c r="AR20" t="s">
        <v>244</v>
      </c>
      <c r="AS20" t="s">
        <v>138</v>
      </c>
      <c r="AT20">
        <v>0</v>
      </c>
      <c r="AU20" t="s">
        <v>146</v>
      </c>
      <c r="AW20" t="s">
        <v>147</v>
      </c>
      <c r="AX20" s="17">
        <v>45688</v>
      </c>
      <c r="AY20" t="s">
        <v>148</v>
      </c>
      <c r="AZ20" t="s">
        <v>245</v>
      </c>
      <c r="BA20" s="18">
        <f t="shared" si="0"/>
        <v>0</v>
      </c>
      <c r="BB20" s="18">
        <f t="shared" si="1"/>
        <v>1032020.9550000001</v>
      </c>
    </row>
    <row r="21" spans="1:54" x14ac:dyDescent="0.25">
      <c r="A21" s="17">
        <v>45688</v>
      </c>
      <c r="B21" t="s">
        <v>246</v>
      </c>
      <c r="C21" t="s">
        <v>151</v>
      </c>
      <c r="D21" t="s">
        <v>209</v>
      </c>
      <c r="E21" t="s">
        <v>178</v>
      </c>
      <c r="F21" t="s">
        <v>171</v>
      </c>
      <c r="G21" t="s">
        <v>247</v>
      </c>
      <c r="H21" t="s">
        <v>137</v>
      </c>
      <c r="I21">
        <v>0.99039999999999995</v>
      </c>
      <c r="K21" s="17">
        <v>45550</v>
      </c>
      <c r="L21" s="17">
        <v>45755</v>
      </c>
      <c r="M21" t="s">
        <v>138</v>
      </c>
      <c r="N21" t="s">
        <v>155</v>
      </c>
      <c r="O21" s="18">
        <v>1407107.73</v>
      </c>
      <c r="P21" s="18">
        <v>0</v>
      </c>
      <c r="Q21" s="18">
        <v>0</v>
      </c>
      <c r="R21" s="18">
        <v>0</v>
      </c>
      <c r="S21" s="18">
        <v>13239.2</v>
      </c>
      <c r="T21" s="18">
        <v>1420346.93</v>
      </c>
      <c r="U21" s="18">
        <v>0</v>
      </c>
      <c r="V21" s="18">
        <v>0</v>
      </c>
      <c r="W21" s="18">
        <v>1985.88</v>
      </c>
      <c r="X21" s="18">
        <v>0</v>
      </c>
      <c r="Y21" s="18">
        <v>1418361.05</v>
      </c>
      <c r="Z21">
        <v>9.4090000000000007E-3</v>
      </c>
      <c r="AA21">
        <v>0.99039999999999995</v>
      </c>
      <c r="AD21">
        <v>9.4999999999999998E-3</v>
      </c>
      <c r="AG21">
        <v>3.0000000000000001E-3</v>
      </c>
      <c r="AH21">
        <v>22</v>
      </c>
      <c r="AI21">
        <v>67</v>
      </c>
      <c r="AJ21" t="s">
        <v>156</v>
      </c>
      <c r="AK21" t="s">
        <v>141</v>
      </c>
      <c r="AL21">
        <v>0.15</v>
      </c>
      <c r="AM21" t="s">
        <v>141</v>
      </c>
      <c r="AN21" t="s">
        <v>141</v>
      </c>
      <c r="AO21" t="s">
        <v>157</v>
      </c>
      <c r="AP21" t="s">
        <v>178</v>
      </c>
      <c r="AQ21" t="s">
        <v>144</v>
      </c>
      <c r="AR21" t="s">
        <v>248</v>
      </c>
      <c r="AS21" t="s">
        <v>138</v>
      </c>
      <c r="AT21">
        <v>0</v>
      </c>
      <c r="AU21" t="s">
        <v>146</v>
      </c>
      <c r="AW21" t="s">
        <v>147</v>
      </c>
      <c r="AX21" s="17">
        <v>45688</v>
      </c>
      <c r="AY21" t="s">
        <v>148</v>
      </c>
      <c r="AZ21" t="s">
        <v>249</v>
      </c>
      <c r="BA21" s="18">
        <f t="shared" si="0"/>
        <v>0</v>
      </c>
      <c r="BB21" s="18">
        <f t="shared" si="1"/>
        <v>1413727.33</v>
      </c>
    </row>
    <row r="22" spans="1:54" x14ac:dyDescent="0.25">
      <c r="A22" s="17">
        <v>45688</v>
      </c>
      <c r="B22" t="s">
        <v>250</v>
      </c>
      <c r="C22" t="s">
        <v>132</v>
      </c>
      <c r="D22" t="s">
        <v>251</v>
      </c>
      <c r="E22" t="s">
        <v>134</v>
      </c>
      <c r="F22" t="s">
        <v>184</v>
      </c>
      <c r="G22" t="s">
        <v>252</v>
      </c>
      <c r="H22" t="s">
        <v>137</v>
      </c>
      <c r="I22">
        <v>0.95140000000000002</v>
      </c>
      <c r="K22" s="17">
        <v>45345</v>
      </c>
      <c r="L22" s="17"/>
      <c r="M22" t="s">
        <v>186</v>
      </c>
      <c r="N22" t="s">
        <v>155</v>
      </c>
      <c r="O22" s="18">
        <v>2268279.0299999998</v>
      </c>
      <c r="P22" s="18">
        <v>0</v>
      </c>
      <c r="Q22" s="18">
        <v>0</v>
      </c>
      <c r="R22" s="18">
        <v>0</v>
      </c>
      <c r="S22" s="18">
        <v>20501.39</v>
      </c>
      <c r="T22" s="18">
        <v>2285705.21</v>
      </c>
      <c r="U22" s="18">
        <v>3075.21</v>
      </c>
      <c r="V22" s="18">
        <v>0</v>
      </c>
      <c r="W22" s="18">
        <v>0</v>
      </c>
      <c r="X22" s="18">
        <v>0</v>
      </c>
      <c r="Y22" s="18">
        <v>2285705.21</v>
      </c>
      <c r="Z22">
        <v>9.0379999999999992E-3</v>
      </c>
      <c r="AA22">
        <v>0.95140000000000002</v>
      </c>
      <c r="AD22">
        <v>9.4999999999999998E-3</v>
      </c>
      <c r="AG22">
        <v>3.0000000000000001E-3</v>
      </c>
      <c r="AH22">
        <v>22</v>
      </c>
      <c r="AJ22" t="s">
        <v>187</v>
      </c>
      <c r="AK22" t="s">
        <v>142</v>
      </c>
      <c r="AL22">
        <v>0.15</v>
      </c>
      <c r="AM22" t="s">
        <v>141</v>
      </c>
      <c r="AN22" t="s">
        <v>141</v>
      </c>
      <c r="AO22" t="s">
        <v>157</v>
      </c>
      <c r="AP22" t="s">
        <v>134</v>
      </c>
      <c r="AQ22" t="s">
        <v>144</v>
      </c>
      <c r="AR22" t="s">
        <v>253</v>
      </c>
      <c r="AS22" t="s">
        <v>189</v>
      </c>
      <c r="AT22">
        <v>0</v>
      </c>
      <c r="AU22" t="s">
        <v>146</v>
      </c>
      <c r="AW22" t="s">
        <v>147</v>
      </c>
      <c r="AX22" s="17">
        <v>45688</v>
      </c>
      <c r="AY22" t="s">
        <v>148</v>
      </c>
      <c r="AZ22" t="s">
        <v>254</v>
      </c>
      <c r="BA22" s="18">
        <f t="shared" si="0"/>
        <v>0</v>
      </c>
      <c r="BB22" s="18">
        <f t="shared" si="1"/>
        <v>2276992.12</v>
      </c>
    </row>
    <row r="23" spans="1:54" x14ac:dyDescent="0.25">
      <c r="A23" s="17">
        <v>45688</v>
      </c>
      <c r="B23" t="s">
        <v>255</v>
      </c>
      <c r="C23" t="s">
        <v>151</v>
      </c>
      <c r="D23" t="s">
        <v>152</v>
      </c>
      <c r="E23" t="s">
        <v>134</v>
      </c>
      <c r="F23" t="s">
        <v>171</v>
      </c>
      <c r="G23" t="s">
        <v>172</v>
      </c>
      <c r="H23" t="s">
        <v>137</v>
      </c>
      <c r="I23">
        <v>0.99260000000000004</v>
      </c>
      <c r="K23" s="17">
        <v>45543</v>
      </c>
      <c r="L23" s="17">
        <v>46707</v>
      </c>
      <c r="M23" t="s">
        <v>138</v>
      </c>
      <c r="N23" t="s">
        <v>139</v>
      </c>
      <c r="O23" s="18">
        <v>2342009.89</v>
      </c>
      <c r="P23" s="18">
        <v>0</v>
      </c>
      <c r="Q23" s="18">
        <v>0</v>
      </c>
      <c r="R23" s="18">
        <v>0</v>
      </c>
      <c r="S23" s="18">
        <v>22084.45</v>
      </c>
      <c r="T23" s="18">
        <v>2364094.34</v>
      </c>
      <c r="U23" s="18">
        <v>0</v>
      </c>
      <c r="V23" s="18">
        <v>0</v>
      </c>
      <c r="W23" s="18">
        <v>3312.67</v>
      </c>
      <c r="X23" s="18">
        <v>0</v>
      </c>
      <c r="Y23" s="18">
        <v>2360781.67</v>
      </c>
      <c r="Z23">
        <v>9.4299999999999991E-3</v>
      </c>
      <c r="AA23">
        <v>0.99260000000000004</v>
      </c>
      <c r="AD23">
        <v>9.4999999999999998E-3</v>
      </c>
      <c r="AG23">
        <v>3.0000000000000001E-3</v>
      </c>
      <c r="AH23">
        <v>22</v>
      </c>
      <c r="AI23">
        <v>1019</v>
      </c>
      <c r="AJ23" t="s">
        <v>140</v>
      </c>
      <c r="AK23" t="s">
        <v>141</v>
      </c>
      <c r="AL23">
        <v>0.15</v>
      </c>
      <c r="AM23" t="s">
        <v>141</v>
      </c>
      <c r="AN23" t="s">
        <v>141</v>
      </c>
      <c r="AO23" t="s">
        <v>157</v>
      </c>
      <c r="AP23" t="s">
        <v>134</v>
      </c>
      <c r="AQ23" t="s">
        <v>144</v>
      </c>
      <c r="AR23" t="s">
        <v>256</v>
      </c>
      <c r="AS23" t="s">
        <v>138</v>
      </c>
      <c r="AT23">
        <v>0</v>
      </c>
      <c r="AU23" t="s">
        <v>146</v>
      </c>
      <c r="AW23" t="s">
        <v>147</v>
      </c>
      <c r="AX23" s="17">
        <v>45688</v>
      </c>
      <c r="AY23" t="s">
        <v>148</v>
      </c>
      <c r="AZ23" t="s">
        <v>257</v>
      </c>
      <c r="BA23" s="18">
        <f t="shared" si="0"/>
        <v>0</v>
      </c>
      <c r="BB23" s="18">
        <f t="shared" si="1"/>
        <v>2353052.1150000002</v>
      </c>
    </row>
    <row r="24" spans="1:54" x14ac:dyDescent="0.25">
      <c r="A24" s="17">
        <v>45688</v>
      </c>
      <c r="B24" t="s">
        <v>258</v>
      </c>
      <c r="C24" t="s">
        <v>169</v>
      </c>
      <c r="D24" t="s">
        <v>177</v>
      </c>
      <c r="E24" t="s">
        <v>162</v>
      </c>
      <c r="F24" t="s">
        <v>216</v>
      </c>
      <c r="G24" t="s">
        <v>259</v>
      </c>
      <c r="H24" t="s">
        <v>137</v>
      </c>
      <c r="I24">
        <v>0.80940000000000001</v>
      </c>
      <c r="K24" s="17">
        <v>45530</v>
      </c>
      <c r="L24" s="17"/>
      <c r="M24" t="s">
        <v>186</v>
      </c>
      <c r="N24" t="s">
        <v>155</v>
      </c>
      <c r="O24" s="18">
        <v>1664507.74</v>
      </c>
      <c r="P24" s="18">
        <v>0</v>
      </c>
      <c r="Q24" s="18">
        <v>0</v>
      </c>
      <c r="R24" s="18">
        <v>0</v>
      </c>
      <c r="S24" s="18">
        <v>12798.9</v>
      </c>
      <c r="T24" s="18">
        <v>1677306.64</v>
      </c>
      <c r="U24" s="18">
        <v>0</v>
      </c>
      <c r="V24" s="18">
        <v>0</v>
      </c>
      <c r="W24" s="18">
        <v>1919.83</v>
      </c>
      <c r="X24" s="18">
        <v>0</v>
      </c>
      <c r="Y24" s="18">
        <v>1675386.81</v>
      </c>
      <c r="Z24">
        <v>7.6889999999999997E-3</v>
      </c>
      <c r="AA24">
        <v>0.80940000000000001</v>
      </c>
      <c r="AD24">
        <v>9.4999999999999998E-3</v>
      </c>
      <c r="AG24">
        <v>3.0000000000000001E-3</v>
      </c>
      <c r="AH24">
        <v>22</v>
      </c>
      <c r="AJ24" t="s">
        <v>187</v>
      </c>
      <c r="AK24" t="s">
        <v>141</v>
      </c>
      <c r="AL24">
        <v>0.15</v>
      </c>
      <c r="AM24" t="s">
        <v>141</v>
      </c>
      <c r="AN24" t="s">
        <v>141</v>
      </c>
      <c r="AO24" t="s">
        <v>197</v>
      </c>
      <c r="AP24" t="s">
        <v>162</v>
      </c>
      <c r="AQ24" t="s">
        <v>144</v>
      </c>
      <c r="AR24" t="s">
        <v>260</v>
      </c>
      <c r="AS24" t="s">
        <v>189</v>
      </c>
      <c r="AT24">
        <v>0</v>
      </c>
      <c r="AU24" t="s">
        <v>146</v>
      </c>
      <c r="AW24" t="s">
        <v>147</v>
      </c>
      <c r="AX24" s="17">
        <v>45688</v>
      </c>
      <c r="AY24" t="s">
        <v>148</v>
      </c>
      <c r="AZ24" t="s">
        <v>261</v>
      </c>
      <c r="BA24" s="18">
        <f t="shared" si="0"/>
        <v>0</v>
      </c>
      <c r="BB24" s="18">
        <f t="shared" si="1"/>
        <v>1670907.19</v>
      </c>
    </row>
    <row r="25" spans="1:54" x14ac:dyDescent="0.25">
      <c r="A25" s="17">
        <v>45688</v>
      </c>
      <c r="B25" t="s">
        <v>262</v>
      </c>
      <c r="C25" t="s">
        <v>132</v>
      </c>
      <c r="D25" t="s">
        <v>133</v>
      </c>
      <c r="E25" t="s">
        <v>178</v>
      </c>
      <c r="F25" t="s">
        <v>171</v>
      </c>
      <c r="G25" t="s">
        <v>247</v>
      </c>
      <c r="H25" t="s">
        <v>137</v>
      </c>
      <c r="I25">
        <v>0.99119999999999997</v>
      </c>
      <c r="K25" s="17">
        <v>45488</v>
      </c>
      <c r="L25" s="17">
        <v>45982</v>
      </c>
      <c r="M25" t="s">
        <v>138</v>
      </c>
      <c r="N25" t="s">
        <v>155</v>
      </c>
      <c r="O25" s="18">
        <v>1834123.29</v>
      </c>
      <c r="P25" s="18">
        <v>0</v>
      </c>
      <c r="Q25" s="18">
        <v>0</v>
      </c>
      <c r="R25" s="18">
        <v>0</v>
      </c>
      <c r="S25" s="18">
        <v>17270.84</v>
      </c>
      <c r="T25" s="18">
        <v>1851394.13</v>
      </c>
      <c r="U25" s="18">
        <v>0</v>
      </c>
      <c r="V25" s="18">
        <v>0</v>
      </c>
      <c r="W25" s="18">
        <v>2590.63</v>
      </c>
      <c r="X25" s="18">
        <v>0</v>
      </c>
      <c r="Y25" s="18">
        <v>1848803.5</v>
      </c>
      <c r="Z25">
        <v>9.4160000000000008E-3</v>
      </c>
      <c r="AA25">
        <v>0.99119999999999997</v>
      </c>
      <c r="AD25">
        <v>9.4999999999999998E-3</v>
      </c>
      <c r="AG25">
        <v>3.0000000000000001E-3</v>
      </c>
      <c r="AH25">
        <v>22</v>
      </c>
      <c r="AI25">
        <v>294</v>
      </c>
      <c r="AJ25" t="s">
        <v>173</v>
      </c>
      <c r="AK25" t="s">
        <v>141</v>
      </c>
      <c r="AL25">
        <v>0.15</v>
      </c>
      <c r="AM25" t="s">
        <v>141</v>
      </c>
      <c r="AN25" t="s">
        <v>141</v>
      </c>
      <c r="AO25" t="s">
        <v>143</v>
      </c>
      <c r="AP25" t="s">
        <v>178</v>
      </c>
      <c r="AQ25" t="s">
        <v>144</v>
      </c>
      <c r="AR25" t="s">
        <v>263</v>
      </c>
      <c r="AS25" t="s">
        <v>138</v>
      </c>
      <c r="AT25">
        <v>0</v>
      </c>
      <c r="AU25" t="s">
        <v>146</v>
      </c>
      <c r="AW25" t="s">
        <v>147</v>
      </c>
      <c r="AX25" s="17">
        <v>45688</v>
      </c>
      <c r="AY25" t="s">
        <v>148</v>
      </c>
      <c r="AZ25" t="s">
        <v>264</v>
      </c>
      <c r="BA25" s="18">
        <f t="shared" si="0"/>
        <v>0</v>
      </c>
      <c r="BB25" s="18">
        <f t="shared" si="1"/>
        <v>1842758.71</v>
      </c>
    </row>
    <row r="26" spans="1:54" x14ac:dyDescent="0.25">
      <c r="A26" s="17">
        <v>45688</v>
      </c>
      <c r="B26" t="s">
        <v>265</v>
      </c>
      <c r="C26" t="s">
        <v>169</v>
      </c>
      <c r="D26" t="s">
        <v>215</v>
      </c>
      <c r="E26" t="s">
        <v>162</v>
      </c>
      <c r="F26" t="s">
        <v>135</v>
      </c>
      <c r="G26" t="s">
        <v>266</v>
      </c>
      <c r="H26" t="s">
        <v>137</v>
      </c>
      <c r="I26">
        <v>0.89949999999999997</v>
      </c>
      <c r="K26" s="17">
        <v>45389</v>
      </c>
      <c r="L26" s="17">
        <v>47335</v>
      </c>
      <c r="M26" t="s">
        <v>138</v>
      </c>
      <c r="N26" t="s">
        <v>139</v>
      </c>
      <c r="O26" s="18">
        <v>662025.80000000005</v>
      </c>
      <c r="P26" s="18">
        <v>132836.97</v>
      </c>
      <c r="Q26" s="18">
        <v>0</v>
      </c>
      <c r="R26" s="18">
        <v>0</v>
      </c>
      <c r="S26" s="18">
        <v>6224.74</v>
      </c>
      <c r="T26" s="18">
        <v>801087.51</v>
      </c>
      <c r="U26" s="18">
        <v>0</v>
      </c>
      <c r="V26" s="18">
        <v>0</v>
      </c>
      <c r="W26" s="18">
        <v>0</v>
      </c>
      <c r="X26" s="18">
        <v>0</v>
      </c>
      <c r="Y26" s="18">
        <v>801087.51</v>
      </c>
      <c r="Z26">
        <v>7.8309999999999994E-3</v>
      </c>
      <c r="AA26">
        <v>0.82430000000000003</v>
      </c>
      <c r="AD26">
        <v>9.4999999999999998E-3</v>
      </c>
      <c r="AG26">
        <v>3.0000000000000001E-3</v>
      </c>
      <c r="AH26">
        <v>22</v>
      </c>
      <c r="AI26">
        <v>1647</v>
      </c>
      <c r="AJ26" t="s">
        <v>140</v>
      </c>
      <c r="AK26" t="s">
        <v>141</v>
      </c>
      <c r="AL26">
        <v>0</v>
      </c>
      <c r="AM26" t="s">
        <v>142</v>
      </c>
      <c r="AN26" t="s">
        <v>142</v>
      </c>
      <c r="AO26" t="s">
        <v>143</v>
      </c>
      <c r="AP26" t="s">
        <v>162</v>
      </c>
      <c r="AQ26" t="s">
        <v>144</v>
      </c>
      <c r="AR26" t="s">
        <v>267</v>
      </c>
      <c r="AS26" t="s">
        <v>138</v>
      </c>
      <c r="AT26">
        <v>0</v>
      </c>
      <c r="AU26" t="s">
        <v>146</v>
      </c>
      <c r="AW26" t="s">
        <v>147</v>
      </c>
      <c r="AX26" s="17">
        <v>45688</v>
      </c>
      <c r="AY26" t="s">
        <v>148</v>
      </c>
      <c r="AZ26" t="s">
        <v>268</v>
      </c>
      <c r="BA26" s="18">
        <f t="shared" si="0"/>
        <v>0</v>
      </c>
      <c r="BB26" s="18">
        <f t="shared" si="1"/>
        <v>731556.65500000003</v>
      </c>
    </row>
    <row r="27" spans="1:54" x14ac:dyDescent="0.25">
      <c r="A27" s="17">
        <v>45688</v>
      </c>
      <c r="B27" t="s">
        <v>269</v>
      </c>
      <c r="C27" t="s">
        <v>151</v>
      </c>
      <c r="D27" t="s">
        <v>133</v>
      </c>
      <c r="E27" t="s">
        <v>178</v>
      </c>
      <c r="F27" t="s">
        <v>135</v>
      </c>
      <c r="G27" t="s">
        <v>179</v>
      </c>
      <c r="H27" t="s">
        <v>137</v>
      </c>
      <c r="I27">
        <v>0.94479999999999997</v>
      </c>
      <c r="K27" s="17">
        <v>45539</v>
      </c>
      <c r="L27" s="17">
        <v>45979</v>
      </c>
      <c r="M27" t="s">
        <v>138</v>
      </c>
      <c r="N27" t="s">
        <v>155</v>
      </c>
      <c r="O27" s="18">
        <v>2129304.5499999998</v>
      </c>
      <c r="P27" s="18">
        <v>0</v>
      </c>
      <c r="Q27" s="18">
        <v>392121.2</v>
      </c>
      <c r="R27" s="18">
        <v>0</v>
      </c>
      <c r="S27" s="18">
        <v>17352.02</v>
      </c>
      <c r="T27" s="18">
        <v>1754535.37</v>
      </c>
      <c r="U27" s="18">
        <v>0</v>
      </c>
      <c r="V27" s="18">
        <v>0</v>
      </c>
      <c r="W27" s="18">
        <v>0</v>
      </c>
      <c r="X27" s="18">
        <v>0</v>
      </c>
      <c r="Y27" s="18">
        <v>1754535.37</v>
      </c>
      <c r="Z27">
        <v>8.149E-3</v>
      </c>
      <c r="AA27">
        <v>0.85780000000000001</v>
      </c>
      <c r="AD27">
        <v>9.4999999999999998E-3</v>
      </c>
      <c r="AG27">
        <v>3.0000000000000001E-3</v>
      </c>
      <c r="AH27">
        <v>22</v>
      </c>
      <c r="AI27">
        <v>291</v>
      </c>
      <c r="AJ27" t="s">
        <v>173</v>
      </c>
      <c r="AK27" t="s">
        <v>141</v>
      </c>
      <c r="AL27">
        <v>0</v>
      </c>
      <c r="AM27" t="s">
        <v>142</v>
      </c>
      <c r="AN27" t="s">
        <v>142</v>
      </c>
      <c r="AO27" t="s">
        <v>143</v>
      </c>
      <c r="AP27" t="s">
        <v>178</v>
      </c>
      <c r="AQ27" t="s">
        <v>144</v>
      </c>
      <c r="AR27" t="s">
        <v>270</v>
      </c>
      <c r="AS27" t="s">
        <v>138</v>
      </c>
      <c r="AT27">
        <v>0</v>
      </c>
      <c r="AU27" t="s">
        <v>146</v>
      </c>
      <c r="AW27" t="s">
        <v>147</v>
      </c>
      <c r="AX27" s="17">
        <v>45688</v>
      </c>
      <c r="AY27" t="s">
        <v>148</v>
      </c>
      <c r="AZ27" t="s">
        <v>271</v>
      </c>
      <c r="BA27" s="18">
        <f t="shared" si="0"/>
        <v>0</v>
      </c>
      <c r="BB27" s="18">
        <f t="shared" si="1"/>
        <v>1941919.96</v>
      </c>
    </row>
    <row r="28" spans="1:54" x14ac:dyDescent="0.25">
      <c r="A28" s="17">
        <v>45688</v>
      </c>
      <c r="B28" t="s">
        <v>272</v>
      </c>
      <c r="C28" t="s">
        <v>151</v>
      </c>
      <c r="D28" t="s">
        <v>161</v>
      </c>
      <c r="E28" t="s">
        <v>178</v>
      </c>
      <c r="F28" t="s">
        <v>242</v>
      </c>
      <c r="G28" t="s">
        <v>273</v>
      </c>
      <c r="H28" t="s">
        <v>137</v>
      </c>
      <c r="I28">
        <v>0.87019999999999997</v>
      </c>
      <c r="K28" s="17">
        <v>45520</v>
      </c>
      <c r="L28" s="17">
        <v>46205</v>
      </c>
      <c r="M28" t="s">
        <v>138</v>
      </c>
      <c r="N28" t="s">
        <v>139</v>
      </c>
      <c r="O28" s="18">
        <v>1006533.31</v>
      </c>
      <c r="P28" s="18">
        <v>0</v>
      </c>
      <c r="Q28" s="18">
        <v>0</v>
      </c>
      <c r="R28" s="18">
        <v>0</v>
      </c>
      <c r="S28" s="18">
        <v>8320.91</v>
      </c>
      <c r="T28" s="18">
        <v>1014854.22</v>
      </c>
      <c r="U28" s="18">
        <v>0</v>
      </c>
      <c r="V28" s="18">
        <v>0</v>
      </c>
      <c r="W28" s="18">
        <v>0</v>
      </c>
      <c r="X28" s="18">
        <v>0</v>
      </c>
      <c r="Y28" s="18">
        <v>1014854.22</v>
      </c>
      <c r="Z28">
        <v>8.267E-3</v>
      </c>
      <c r="AA28">
        <v>0.87019999999999997</v>
      </c>
      <c r="AD28">
        <v>9.4999999999999998E-3</v>
      </c>
      <c r="AG28">
        <v>3.0000000000000001E-3</v>
      </c>
      <c r="AH28">
        <v>22</v>
      </c>
      <c r="AI28">
        <v>517</v>
      </c>
      <c r="AJ28" t="s">
        <v>140</v>
      </c>
      <c r="AK28" t="s">
        <v>141</v>
      </c>
      <c r="AL28">
        <v>0</v>
      </c>
      <c r="AM28" t="s">
        <v>142</v>
      </c>
      <c r="AN28" t="s">
        <v>142</v>
      </c>
      <c r="AO28" t="s">
        <v>197</v>
      </c>
      <c r="AP28" t="s">
        <v>178</v>
      </c>
      <c r="AQ28" t="s">
        <v>144</v>
      </c>
      <c r="AR28" t="s">
        <v>274</v>
      </c>
      <c r="AS28" t="s">
        <v>138</v>
      </c>
      <c r="AT28">
        <v>0</v>
      </c>
      <c r="AU28" t="s">
        <v>146</v>
      </c>
      <c r="AW28" t="s">
        <v>147</v>
      </c>
      <c r="AX28" s="17">
        <v>45688</v>
      </c>
      <c r="AY28" t="s">
        <v>148</v>
      </c>
      <c r="AZ28" t="s">
        <v>275</v>
      </c>
      <c r="BA28" s="18">
        <f t="shared" si="0"/>
        <v>0</v>
      </c>
      <c r="BB28" s="18">
        <f t="shared" si="1"/>
        <v>1010693.765</v>
      </c>
    </row>
    <row r="29" spans="1:54" x14ac:dyDescent="0.25">
      <c r="A29" s="17">
        <v>45688</v>
      </c>
      <c r="B29" t="s">
        <v>276</v>
      </c>
      <c r="C29" t="s">
        <v>132</v>
      </c>
      <c r="D29" t="s">
        <v>152</v>
      </c>
      <c r="E29" t="s">
        <v>183</v>
      </c>
      <c r="F29" t="s">
        <v>216</v>
      </c>
      <c r="G29" t="s">
        <v>277</v>
      </c>
      <c r="H29" t="s">
        <v>137</v>
      </c>
      <c r="I29">
        <v>0.86619999999999997</v>
      </c>
      <c r="K29" s="17">
        <v>45496</v>
      </c>
      <c r="L29" s="17"/>
      <c r="M29" t="s">
        <v>186</v>
      </c>
      <c r="N29" t="s">
        <v>155</v>
      </c>
      <c r="O29" s="18">
        <v>1242344.96</v>
      </c>
      <c r="P29" s="18">
        <v>0</v>
      </c>
      <c r="Q29" s="18">
        <v>378569.87</v>
      </c>
      <c r="R29" s="18">
        <v>0</v>
      </c>
      <c r="S29" s="18">
        <v>8665.5300000000007</v>
      </c>
      <c r="T29" s="18">
        <v>872440.62</v>
      </c>
      <c r="U29" s="18">
        <v>0</v>
      </c>
      <c r="V29" s="18">
        <v>0</v>
      </c>
      <c r="W29" s="18">
        <v>1299.83</v>
      </c>
      <c r="X29" s="18">
        <v>0</v>
      </c>
      <c r="Y29" s="18">
        <v>871140.79</v>
      </c>
      <c r="Z29">
        <v>6.9750000000000003E-3</v>
      </c>
      <c r="AA29">
        <v>0.73419999999999996</v>
      </c>
      <c r="AD29">
        <v>9.4999999999999998E-3</v>
      </c>
      <c r="AG29">
        <v>3.0000000000000001E-3</v>
      </c>
      <c r="AH29">
        <v>22</v>
      </c>
      <c r="AJ29" t="s">
        <v>187</v>
      </c>
      <c r="AK29" t="s">
        <v>141</v>
      </c>
      <c r="AL29">
        <v>0.15</v>
      </c>
      <c r="AM29" t="s">
        <v>141</v>
      </c>
      <c r="AN29" t="s">
        <v>141</v>
      </c>
      <c r="AO29" t="s">
        <v>157</v>
      </c>
      <c r="AP29" t="s">
        <v>183</v>
      </c>
      <c r="AQ29" t="s">
        <v>144</v>
      </c>
      <c r="AR29" t="s">
        <v>278</v>
      </c>
      <c r="AS29" t="s">
        <v>189</v>
      </c>
      <c r="AT29">
        <v>0</v>
      </c>
      <c r="AU29" t="s">
        <v>146</v>
      </c>
      <c r="AW29" t="s">
        <v>147</v>
      </c>
      <c r="AX29" s="17">
        <v>45688</v>
      </c>
      <c r="AY29" t="s">
        <v>148</v>
      </c>
      <c r="AZ29" t="s">
        <v>279</v>
      </c>
      <c r="BA29" s="18">
        <f t="shared" si="0"/>
        <v>0</v>
      </c>
      <c r="BB29" s="18">
        <f t="shared" si="1"/>
        <v>1057392.79</v>
      </c>
    </row>
    <row r="30" spans="1:54" x14ac:dyDescent="0.25">
      <c r="A30" s="17">
        <v>45716</v>
      </c>
      <c r="B30" t="s">
        <v>131</v>
      </c>
      <c r="C30" t="s">
        <v>132</v>
      </c>
      <c r="D30" t="s">
        <v>133</v>
      </c>
      <c r="E30" t="s">
        <v>134</v>
      </c>
      <c r="F30" t="s">
        <v>135</v>
      </c>
      <c r="G30" t="s">
        <v>136</v>
      </c>
      <c r="H30" t="s">
        <v>137</v>
      </c>
      <c r="I30">
        <v>0.9274</v>
      </c>
      <c r="K30" s="17">
        <v>45635</v>
      </c>
      <c r="L30" s="17">
        <v>46117</v>
      </c>
      <c r="M30" t="s">
        <v>138</v>
      </c>
      <c r="N30" t="s">
        <v>139</v>
      </c>
      <c r="O30" s="18">
        <v>2255538.36</v>
      </c>
      <c r="P30" s="18">
        <v>0</v>
      </c>
      <c r="Q30" s="18">
        <v>0</v>
      </c>
      <c r="R30" s="18">
        <v>0</v>
      </c>
      <c r="S30" s="18">
        <v>18407.72</v>
      </c>
      <c r="T30" s="18">
        <v>2273946.08</v>
      </c>
      <c r="U30" s="18">
        <v>0</v>
      </c>
      <c r="V30" s="18">
        <v>0</v>
      </c>
      <c r="W30" s="18">
        <v>0</v>
      </c>
      <c r="X30" s="18">
        <v>0</v>
      </c>
      <c r="Y30" s="18">
        <v>2273946.08</v>
      </c>
      <c r="Z30">
        <v>8.1609999999999999E-3</v>
      </c>
      <c r="AA30">
        <v>0.9274</v>
      </c>
      <c r="AD30">
        <v>8.8000000000000005E-3</v>
      </c>
      <c r="AG30">
        <v>4.4999999999999997E-3</v>
      </c>
      <c r="AH30">
        <v>18</v>
      </c>
      <c r="AI30">
        <v>401</v>
      </c>
      <c r="AJ30" t="s">
        <v>140</v>
      </c>
      <c r="AK30" t="s">
        <v>141</v>
      </c>
      <c r="AL30">
        <v>0</v>
      </c>
      <c r="AM30" t="s">
        <v>142</v>
      </c>
      <c r="AN30" t="s">
        <v>142</v>
      </c>
      <c r="AO30" t="s">
        <v>197</v>
      </c>
      <c r="AP30" t="s">
        <v>134</v>
      </c>
      <c r="AQ30" t="s">
        <v>144</v>
      </c>
      <c r="AR30" t="s">
        <v>145</v>
      </c>
      <c r="AS30" t="s">
        <v>138</v>
      </c>
      <c r="AT30">
        <v>0</v>
      </c>
      <c r="AU30" t="s">
        <v>146</v>
      </c>
      <c r="AW30" t="s">
        <v>147</v>
      </c>
      <c r="AX30" s="17">
        <v>45716</v>
      </c>
      <c r="AY30" t="s">
        <v>148</v>
      </c>
      <c r="AZ30" t="s">
        <v>280</v>
      </c>
      <c r="BA30" s="18">
        <f t="shared" si="0"/>
        <v>0</v>
      </c>
      <c r="BB30" s="18">
        <f t="shared" si="1"/>
        <v>2264742.2199999997</v>
      </c>
    </row>
    <row r="31" spans="1:54" x14ac:dyDescent="0.25">
      <c r="A31" s="17">
        <v>45716</v>
      </c>
      <c r="B31" t="s">
        <v>150</v>
      </c>
      <c r="C31" t="s">
        <v>151</v>
      </c>
      <c r="D31" t="s">
        <v>152</v>
      </c>
      <c r="E31" t="s">
        <v>153</v>
      </c>
      <c r="F31" t="s">
        <v>135</v>
      </c>
      <c r="G31" t="s">
        <v>154</v>
      </c>
      <c r="H31" t="s">
        <v>137</v>
      </c>
      <c r="I31">
        <v>0.92210000000000003</v>
      </c>
      <c r="K31" s="17">
        <v>45475</v>
      </c>
      <c r="L31" s="17">
        <v>45695</v>
      </c>
      <c r="M31" t="s">
        <v>138</v>
      </c>
      <c r="N31" t="s">
        <v>155</v>
      </c>
      <c r="O31" s="18">
        <v>1437533.77</v>
      </c>
      <c r="P31" s="18">
        <v>0</v>
      </c>
      <c r="Q31" s="18">
        <v>59703.75</v>
      </c>
      <c r="R31" s="18">
        <v>0</v>
      </c>
      <c r="S31" s="18">
        <v>11422.61</v>
      </c>
      <c r="T31" s="18">
        <v>1389252.63</v>
      </c>
      <c r="U31" s="18">
        <v>0</v>
      </c>
      <c r="V31" s="18">
        <v>0</v>
      </c>
      <c r="W31" s="18">
        <v>0</v>
      </c>
      <c r="X31" s="18">
        <v>0</v>
      </c>
      <c r="Y31" s="18">
        <v>1389252.63</v>
      </c>
      <c r="Z31">
        <v>7.9459999999999999E-3</v>
      </c>
      <c r="AA31">
        <v>0.90300000000000002</v>
      </c>
      <c r="AD31">
        <v>8.8000000000000005E-3</v>
      </c>
      <c r="AG31">
        <v>4.4999999999999997E-3</v>
      </c>
      <c r="AH31">
        <v>18</v>
      </c>
      <c r="AI31">
        <v>-21</v>
      </c>
      <c r="AJ31" t="s">
        <v>156</v>
      </c>
      <c r="AK31" t="s">
        <v>141</v>
      </c>
      <c r="AL31">
        <v>0</v>
      </c>
      <c r="AM31" t="s">
        <v>142</v>
      </c>
      <c r="AN31" t="s">
        <v>142</v>
      </c>
      <c r="AO31" t="s">
        <v>197</v>
      </c>
      <c r="AP31" t="s">
        <v>153</v>
      </c>
      <c r="AQ31" t="s">
        <v>144</v>
      </c>
      <c r="AR31" t="s">
        <v>158</v>
      </c>
      <c r="AS31" t="s">
        <v>138</v>
      </c>
      <c r="AT31">
        <v>0</v>
      </c>
      <c r="AU31" t="s">
        <v>146</v>
      </c>
      <c r="AW31" t="s">
        <v>147</v>
      </c>
      <c r="AX31" s="17">
        <v>45716</v>
      </c>
      <c r="AY31" t="s">
        <v>148</v>
      </c>
      <c r="AZ31" t="s">
        <v>281</v>
      </c>
      <c r="BA31" s="18">
        <f t="shared" si="0"/>
        <v>0</v>
      </c>
      <c r="BB31" s="18">
        <f t="shared" si="1"/>
        <v>1413393.2</v>
      </c>
    </row>
    <row r="32" spans="1:54" x14ac:dyDescent="0.25">
      <c r="A32" s="17">
        <v>45716</v>
      </c>
      <c r="B32" t="s">
        <v>160</v>
      </c>
      <c r="C32" t="s">
        <v>151</v>
      </c>
      <c r="D32" t="s">
        <v>161</v>
      </c>
      <c r="E32" t="s">
        <v>162</v>
      </c>
      <c r="F32" t="s">
        <v>163</v>
      </c>
      <c r="G32" t="s">
        <v>164</v>
      </c>
      <c r="H32" t="s">
        <v>165</v>
      </c>
      <c r="J32">
        <v>4.7999999999999996E-3</v>
      </c>
      <c r="K32" s="17">
        <v>45523</v>
      </c>
      <c r="L32" s="17">
        <v>46412</v>
      </c>
      <c r="M32" t="s">
        <v>138</v>
      </c>
      <c r="N32" t="s">
        <v>139</v>
      </c>
      <c r="O32" s="18">
        <v>228955.77</v>
      </c>
      <c r="P32" s="18">
        <v>0</v>
      </c>
      <c r="Q32" s="18">
        <v>0</v>
      </c>
      <c r="R32" s="18">
        <v>0</v>
      </c>
      <c r="S32" s="18">
        <v>2129.29</v>
      </c>
      <c r="T32" s="18">
        <v>231085.06</v>
      </c>
      <c r="U32" s="18">
        <v>0</v>
      </c>
      <c r="V32" s="18">
        <v>0</v>
      </c>
      <c r="W32" s="18">
        <v>319.39</v>
      </c>
      <c r="X32" s="18">
        <v>0</v>
      </c>
      <c r="Y32" s="18">
        <v>230765.67</v>
      </c>
      <c r="Z32">
        <v>9.2999999999999992E-3</v>
      </c>
      <c r="AA32">
        <v>1.0568</v>
      </c>
      <c r="AD32">
        <v>8.8000000000000005E-3</v>
      </c>
      <c r="AG32">
        <v>4.4999999999999997E-3</v>
      </c>
      <c r="AH32">
        <v>18</v>
      </c>
      <c r="AI32">
        <v>696</v>
      </c>
      <c r="AJ32" t="s">
        <v>140</v>
      </c>
      <c r="AK32" t="s">
        <v>141</v>
      </c>
      <c r="AL32">
        <v>0.15</v>
      </c>
      <c r="AM32" t="s">
        <v>141</v>
      </c>
      <c r="AN32" t="s">
        <v>141</v>
      </c>
      <c r="AO32" t="s">
        <v>143</v>
      </c>
      <c r="AP32" t="s">
        <v>162</v>
      </c>
      <c r="AQ32" t="s">
        <v>144</v>
      </c>
      <c r="AR32" t="s">
        <v>166</v>
      </c>
      <c r="AS32" t="s">
        <v>138</v>
      </c>
      <c r="AT32">
        <v>0</v>
      </c>
      <c r="AU32" t="s">
        <v>146</v>
      </c>
      <c r="AW32" t="s">
        <v>147</v>
      </c>
      <c r="AX32" s="17">
        <v>45716</v>
      </c>
      <c r="AY32" t="s">
        <v>148</v>
      </c>
      <c r="AZ32" t="s">
        <v>282</v>
      </c>
      <c r="BA32" s="18">
        <f t="shared" si="0"/>
        <v>0</v>
      </c>
      <c r="BB32" s="18">
        <f t="shared" si="1"/>
        <v>230020.41499999998</v>
      </c>
    </row>
    <row r="33" spans="1:54" x14ac:dyDescent="0.25">
      <c r="A33" s="17">
        <v>45716</v>
      </c>
      <c r="B33" t="s">
        <v>168</v>
      </c>
      <c r="C33" t="s">
        <v>169</v>
      </c>
      <c r="D33" t="s">
        <v>170</v>
      </c>
      <c r="E33" t="s">
        <v>134</v>
      </c>
      <c r="F33" t="s">
        <v>171</v>
      </c>
      <c r="G33" t="s">
        <v>172</v>
      </c>
      <c r="H33" t="s">
        <v>137</v>
      </c>
      <c r="I33">
        <v>1.0061</v>
      </c>
      <c r="K33" s="17">
        <v>45335</v>
      </c>
      <c r="L33" s="17">
        <v>45836</v>
      </c>
      <c r="M33" t="s">
        <v>138</v>
      </c>
      <c r="N33" t="s">
        <v>155</v>
      </c>
      <c r="O33" s="18">
        <v>1855408.89</v>
      </c>
      <c r="P33" s="18">
        <v>0</v>
      </c>
      <c r="Q33" s="18">
        <v>0</v>
      </c>
      <c r="R33" s="18">
        <v>0</v>
      </c>
      <c r="S33" s="18">
        <v>16427.2</v>
      </c>
      <c r="T33" s="18">
        <v>1871836.09</v>
      </c>
      <c r="U33" s="18">
        <v>0</v>
      </c>
      <c r="V33" s="18">
        <v>0</v>
      </c>
      <c r="W33" s="18">
        <v>2464.08</v>
      </c>
      <c r="X33" s="18">
        <v>0</v>
      </c>
      <c r="Y33" s="18">
        <v>1869372.01</v>
      </c>
      <c r="Z33">
        <v>8.8540000000000008E-3</v>
      </c>
      <c r="AA33">
        <v>1.0061</v>
      </c>
      <c r="AD33">
        <v>8.8000000000000005E-3</v>
      </c>
      <c r="AG33">
        <v>4.4999999999999997E-3</v>
      </c>
      <c r="AH33">
        <v>18</v>
      </c>
      <c r="AI33">
        <v>120</v>
      </c>
      <c r="AJ33" t="s">
        <v>173</v>
      </c>
      <c r="AK33" t="s">
        <v>141</v>
      </c>
      <c r="AL33">
        <v>0.15</v>
      </c>
      <c r="AM33" t="s">
        <v>141</v>
      </c>
      <c r="AN33" t="s">
        <v>141</v>
      </c>
      <c r="AO33" t="s">
        <v>143</v>
      </c>
      <c r="AP33" t="s">
        <v>134</v>
      </c>
      <c r="AQ33" t="s">
        <v>144</v>
      </c>
      <c r="AR33" t="s">
        <v>174</v>
      </c>
      <c r="AS33" t="s">
        <v>138</v>
      </c>
      <c r="AT33">
        <v>0</v>
      </c>
      <c r="AU33" t="s">
        <v>146</v>
      </c>
      <c r="AW33" t="s">
        <v>147</v>
      </c>
      <c r="AX33" s="17">
        <v>45716</v>
      </c>
      <c r="AY33" t="s">
        <v>148</v>
      </c>
      <c r="AZ33" t="s">
        <v>283</v>
      </c>
      <c r="BA33" s="18">
        <f t="shared" si="0"/>
        <v>0</v>
      </c>
      <c r="BB33" s="18">
        <f t="shared" si="1"/>
        <v>1863622.49</v>
      </c>
    </row>
    <row r="34" spans="1:54" x14ac:dyDescent="0.25">
      <c r="A34" s="17">
        <v>45716</v>
      </c>
      <c r="B34" t="s">
        <v>176</v>
      </c>
      <c r="C34" t="s">
        <v>169</v>
      </c>
      <c r="D34" t="s">
        <v>177</v>
      </c>
      <c r="E34" t="s">
        <v>178</v>
      </c>
      <c r="F34" t="s">
        <v>135</v>
      </c>
      <c r="G34" t="s">
        <v>179</v>
      </c>
      <c r="H34" t="s">
        <v>137</v>
      </c>
      <c r="I34">
        <v>0.92930000000000001</v>
      </c>
      <c r="K34" s="17">
        <v>45340</v>
      </c>
      <c r="L34" s="17">
        <v>46711</v>
      </c>
      <c r="M34" t="s">
        <v>138</v>
      </c>
      <c r="N34" t="s">
        <v>139</v>
      </c>
      <c r="O34" s="18">
        <v>127036.44</v>
      </c>
      <c r="P34" s="18">
        <v>0</v>
      </c>
      <c r="Q34" s="18">
        <v>0</v>
      </c>
      <c r="R34" s="18">
        <v>0</v>
      </c>
      <c r="S34" s="18">
        <v>1038.8800000000001</v>
      </c>
      <c r="T34" s="18">
        <v>128075.32</v>
      </c>
      <c r="U34" s="18">
        <v>0</v>
      </c>
      <c r="V34" s="18">
        <v>0</v>
      </c>
      <c r="W34" s="18">
        <v>0</v>
      </c>
      <c r="X34" s="18">
        <v>0</v>
      </c>
      <c r="Y34" s="18">
        <v>128075.32</v>
      </c>
      <c r="Z34">
        <v>8.1779999999999995E-3</v>
      </c>
      <c r="AA34">
        <v>0.92930000000000001</v>
      </c>
      <c r="AD34">
        <v>8.8000000000000005E-3</v>
      </c>
      <c r="AG34">
        <v>4.4999999999999997E-3</v>
      </c>
      <c r="AH34">
        <v>18</v>
      </c>
      <c r="AI34">
        <v>995</v>
      </c>
      <c r="AJ34" t="s">
        <v>140</v>
      </c>
      <c r="AK34" t="s">
        <v>141</v>
      </c>
      <c r="AL34">
        <v>0</v>
      </c>
      <c r="AM34" t="s">
        <v>142</v>
      </c>
      <c r="AN34" t="s">
        <v>142</v>
      </c>
      <c r="AO34" t="s">
        <v>157</v>
      </c>
      <c r="AP34" t="s">
        <v>178</v>
      </c>
      <c r="AQ34" t="s">
        <v>144</v>
      </c>
      <c r="AR34" t="s">
        <v>180</v>
      </c>
      <c r="AS34" t="s">
        <v>138</v>
      </c>
      <c r="AT34">
        <v>0</v>
      </c>
      <c r="AU34" t="s">
        <v>146</v>
      </c>
      <c r="AW34" t="s">
        <v>147</v>
      </c>
      <c r="AX34" s="17">
        <v>45716</v>
      </c>
      <c r="AY34" t="s">
        <v>148</v>
      </c>
      <c r="AZ34" t="s">
        <v>284</v>
      </c>
      <c r="BA34" s="18">
        <f t="shared" ref="BA34:BA65" si="2">ROUND(T34-(O34+P34-Q34-R34+S34-IF(AK34="S",U34+V34,0)),2)</f>
        <v>0</v>
      </c>
      <c r="BB34" s="18">
        <f t="shared" ref="BB34:BB65" si="3">(O34+T34)/2</f>
        <v>127555.88</v>
      </c>
    </row>
    <row r="35" spans="1:54" x14ac:dyDescent="0.25">
      <c r="A35" s="17">
        <v>45716</v>
      </c>
      <c r="B35" t="s">
        <v>182</v>
      </c>
      <c r="C35" t="s">
        <v>151</v>
      </c>
      <c r="D35" t="s">
        <v>133</v>
      </c>
      <c r="E35" t="s">
        <v>183</v>
      </c>
      <c r="F35" t="s">
        <v>184</v>
      </c>
      <c r="G35" t="s">
        <v>185</v>
      </c>
      <c r="H35" t="s">
        <v>137</v>
      </c>
      <c r="I35">
        <v>0.95899999999999996</v>
      </c>
      <c r="K35" s="17">
        <v>45350</v>
      </c>
      <c r="L35" s="17"/>
      <c r="M35" t="s">
        <v>186</v>
      </c>
      <c r="N35" t="s">
        <v>155</v>
      </c>
      <c r="O35" s="18">
        <v>1169844.81</v>
      </c>
      <c r="P35" s="18">
        <v>0</v>
      </c>
      <c r="Q35" s="18">
        <v>0</v>
      </c>
      <c r="R35" s="18">
        <v>0</v>
      </c>
      <c r="S35" s="18">
        <v>9872.5499999999993</v>
      </c>
      <c r="T35" s="18">
        <v>1178236.48</v>
      </c>
      <c r="U35" s="18">
        <v>1480.88</v>
      </c>
      <c r="V35" s="18">
        <v>0</v>
      </c>
      <c r="W35" s="18">
        <v>0</v>
      </c>
      <c r="X35" s="18">
        <v>0</v>
      </c>
      <c r="Y35" s="18">
        <v>1178236.48</v>
      </c>
      <c r="Z35">
        <v>8.4390000000000003E-3</v>
      </c>
      <c r="AA35">
        <v>0.95899999999999996</v>
      </c>
      <c r="AD35">
        <v>8.8000000000000005E-3</v>
      </c>
      <c r="AG35">
        <v>4.4999999999999997E-3</v>
      </c>
      <c r="AH35">
        <v>18</v>
      </c>
      <c r="AJ35" t="s">
        <v>187</v>
      </c>
      <c r="AK35" t="s">
        <v>142</v>
      </c>
      <c r="AL35">
        <v>0.15</v>
      </c>
      <c r="AM35" t="s">
        <v>141</v>
      </c>
      <c r="AN35" t="s">
        <v>141</v>
      </c>
      <c r="AO35" t="s">
        <v>157</v>
      </c>
      <c r="AP35" t="s">
        <v>183</v>
      </c>
      <c r="AQ35" t="s">
        <v>144</v>
      </c>
      <c r="AR35" t="s">
        <v>188</v>
      </c>
      <c r="AS35" t="s">
        <v>189</v>
      </c>
      <c r="AT35">
        <v>0</v>
      </c>
      <c r="AU35" t="s">
        <v>146</v>
      </c>
      <c r="AW35" t="s">
        <v>147</v>
      </c>
      <c r="AX35" s="17">
        <v>45716</v>
      </c>
      <c r="AY35" t="s">
        <v>148</v>
      </c>
      <c r="AZ35" t="s">
        <v>285</v>
      </c>
      <c r="BA35" s="18">
        <f t="shared" si="2"/>
        <v>0</v>
      </c>
      <c r="BB35" s="18">
        <f t="shared" si="3"/>
        <v>1174040.645</v>
      </c>
    </row>
    <row r="36" spans="1:54" x14ac:dyDescent="0.25">
      <c r="A36" s="17">
        <v>45716</v>
      </c>
      <c r="B36" t="s">
        <v>191</v>
      </c>
      <c r="C36" t="s">
        <v>132</v>
      </c>
      <c r="D36" t="s">
        <v>133</v>
      </c>
      <c r="E36" t="s">
        <v>162</v>
      </c>
      <c r="F36" t="s">
        <v>171</v>
      </c>
      <c r="G36" t="s">
        <v>192</v>
      </c>
      <c r="H36" t="s">
        <v>137</v>
      </c>
      <c r="I36">
        <v>1.0022</v>
      </c>
      <c r="K36" s="17">
        <v>45455</v>
      </c>
      <c r="L36" s="17">
        <v>46335</v>
      </c>
      <c r="M36" t="s">
        <v>138</v>
      </c>
      <c r="N36" t="s">
        <v>139</v>
      </c>
      <c r="O36" s="18">
        <v>473757.75</v>
      </c>
      <c r="P36" s="18">
        <v>0</v>
      </c>
      <c r="Q36" s="18">
        <v>0</v>
      </c>
      <c r="R36" s="18">
        <v>0</v>
      </c>
      <c r="S36" s="18">
        <v>4178.24</v>
      </c>
      <c r="T36" s="18">
        <v>477935.99</v>
      </c>
      <c r="U36" s="18">
        <v>0</v>
      </c>
      <c r="V36" s="18">
        <v>0</v>
      </c>
      <c r="W36" s="18">
        <v>626.74</v>
      </c>
      <c r="X36" s="18">
        <v>0</v>
      </c>
      <c r="Y36" s="18">
        <v>477309.25</v>
      </c>
      <c r="Z36">
        <v>8.8190000000000004E-3</v>
      </c>
      <c r="AA36">
        <v>1.0022</v>
      </c>
      <c r="AD36">
        <v>8.8000000000000005E-3</v>
      </c>
      <c r="AG36">
        <v>4.4999999999999997E-3</v>
      </c>
      <c r="AH36">
        <v>18</v>
      </c>
      <c r="AI36">
        <v>619</v>
      </c>
      <c r="AJ36" t="s">
        <v>140</v>
      </c>
      <c r="AK36" t="s">
        <v>141</v>
      </c>
      <c r="AL36">
        <v>0.15</v>
      </c>
      <c r="AM36" t="s">
        <v>141</v>
      </c>
      <c r="AN36" t="s">
        <v>141</v>
      </c>
      <c r="AO36" t="s">
        <v>143</v>
      </c>
      <c r="AP36" t="s">
        <v>162</v>
      </c>
      <c r="AQ36" t="s">
        <v>144</v>
      </c>
      <c r="AR36" t="s">
        <v>193</v>
      </c>
      <c r="AS36" t="s">
        <v>138</v>
      </c>
      <c r="AT36">
        <v>0</v>
      </c>
      <c r="AU36" t="s">
        <v>146</v>
      </c>
      <c r="AW36" t="s">
        <v>147</v>
      </c>
      <c r="AX36" s="17">
        <v>45716</v>
      </c>
      <c r="AY36" t="s">
        <v>148</v>
      </c>
      <c r="AZ36" t="s">
        <v>286</v>
      </c>
      <c r="BA36" s="18">
        <f t="shared" si="2"/>
        <v>0</v>
      </c>
      <c r="BB36" s="18">
        <f t="shared" si="3"/>
        <v>475846.87</v>
      </c>
    </row>
    <row r="37" spans="1:54" x14ac:dyDescent="0.25">
      <c r="A37" s="17">
        <v>45716</v>
      </c>
      <c r="B37" t="s">
        <v>195</v>
      </c>
      <c r="C37" t="s">
        <v>169</v>
      </c>
      <c r="D37" t="s">
        <v>152</v>
      </c>
      <c r="E37" t="s">
        <v>162</v>
      </c>
      <c r="F37" t="s">
        <v>184</v>
      </c>
      <c r="G37" t="s">
        <v>196</v>
      </c>
      <c r="H37" t="s">
        <v>137</v>
      </c>
      <c r="I37">
        <v>0.95099999999999996</v>
      </c>
      <c r="K37" s="17">
        <v>45517</v>
      </c>
      <c r="L37" s="17"/>
      <c r="M37" t="s">
        <v>186</v>
      </c>
      <c r="N37" t="s">
        <v>155</v>
      </c>
      <c r="O37" s="18">
        <v>1052386.44</v>
      </c>
      <c r="P37" s="18">
        <v>0</v>
      </c>
      <c r="Q37" s="18">
        <v>0</v>
      </c>
      <c r="R37" s="18">
        <v>0</v>
      </c>
      <c r="S37" s="18">
        <v>8807.2099999999991</v>
      </c>
      <c r="T37" s="18">
        <v>1059872.57</v>
      </c>
      <c r="U37" s="18">
        <v>1321.08</v>
      </c>
      <c r="V37" s="18">
        <v>0</v>
      </c>
      <c r="W37" s="18">
        <v>0</v>
      </c>
      <c r="X37" s="18">
        <v>0</v>
      </c>
      <c r="Y37" s="18">
        <v>1059872.57</v>
      </c>
      <c r="Z37">
        <v>8.3689999999999997E-3</v>
      </c>
      <c r="AA37">
        <v>0.95099999999999996</v>
      </c>
      <c r="AD37">
        <v>8.8000000000000005E-3</v>
      </c>
      <c r="AG37">
        <v>4.4999999999999997E-3</v>
      </c>
      <c r="AH37">
        <v>18</v>
      </c>
      <c r="AJ37" t="s">
        <v>187</v>
      </c>
      <c r="AK37" t="s">
        <v>142</v>
      </c>
      <c r="AL37">
        <v>0.15</v>
      </c>
      <c r="AM37" t="s">
        <v>141</v>
      </c>
      <c r="AN37" t="s">
        <v>141</v>
      </c>
      <c r="AO37" t="s">
        <v>143</v>
      </c>
      <c r="AP37" t="s">
        <v>162</v>
      </c>
      <c r="AQ37" t="s">
        <v>144</v>
      </c>
      <c r="AR37" t="s">
        <v>198</v>
      </c>
      <c r="AS37" t="s">
        <v>189</v>
      </c>
      <c r="AT37">
        <v>0</v>
      </c>
      <c r="AU37" t="s">
        <v>146</v>
      </c>
      <c r="AW37" t="s">
        <v>147</v>
      </c>
      <c r="AX37" s="17">
        <v>45716</v>
      </c>
      <c r="AY37" t="s">
        <v>148</v>
      </c>
      <c r="AZ37" t="s">
        <v>287</v>
      </c>
      <c r="BA37" s="18">
        <f t="shared" si="2"/>
        <v>0</v>
      </c>
      <c r="BB37" s="18">
        <f t="shared" si="3"/>
        <v>1056129.5049999999</v>
      </c>
    </row>
    <row r="38" spans="1:54" x14ac:dyDescent="0.25">
      <c r="A38" s="17">
        <v>45716</v>
      </c>
      <c r="B38" t="s">
        <v>200</v>
      </c>
      <c r="C38" t="s">
        <v>151</v>
      </c>
      <c r="D38" t="s">
        <v>177</v>
      </c>
      <c r="E38" t="s">
        <v>162</v>
      </c>
      <c r="F38" t="s">
        <v>201</v>
      </c>
      <c r="G38" t="s">
        <v>202</v>
      </c>
      <c r="H38" t="s">
        <v>137</v>
      </c>
      <c r="I38">
        <v>1.0439000000000001</v>
      </c>
      <c r="K38" s="17">
        <v>45317</v>
      </c>
      <c r="L38" s="17">
        <v>46577</v>
      </c>
      <c r="M38" t="s">
        <v>138</v>
      </c>
      <c r="N38" t="s">
        <v>139</v>
      </c>
      <c r="O38" s="18">
        <v>1453867.63</v>
      </c>
      <c r="P38" s="18">
        <v>0</v>
      </c>
      <c r="Q38" s="18">
        <v>297260.14</v>
      </c>
      <c r="R38" s="18">
        <v>0</v>
      </c>
      <c r="S38" s="18">
        <v>11990.33</v>
      </c>
      <c r="T38" s="18">
        <v>1168597.82</v>
      </c>
      <c r="U38" s="18">
        <v>0</v>
      </c>
      <c r="V38" s="18">
        <v>0</v>
      </c>
      <c r="W38" s="18">
        <v>1798.55</v>
      </c>
      <c r="X38" s="18">
        <v>0</v>
      </c>
      <c r="Y38" s="18">
        <v>1166799.27</v>
      </c>
      <c r="Z38">
        <v>8.2470000000000009E-3</v>
      </c>
      <c r="AA38">
        <v>0.93720000000000003</v>
      </c>
      <c r="AD38">
        <v>8.8000000000000005E-3</v>
      </c>
      <c r="AG38">
        <v>4.4999999999999997E-3</v>
      </c>
      <c r="AH38">
        <v>18</v>
      </c>
      <c r="AI38">
        <v>861</v>
      </c>
      <c r="AJ38" t="s">
        <v>140</v>
      </c>
      <c r="AK38" t="s">
        <v>141</v>
      </c>
      <c r="AL38">
        <v>0.15</v>
      </c>
      <c r="AM38" t="s">
        <v>141</v>
      </c>
      <c r="AN38" t="s">
        <v>142</v>
      </c>
      <c r="AO38" t="s">
        <v>197</v>
      </c>
      <c r="AP38" t="s">
        <v>162</v>
      </c>
      <c r="AQ38" t="s">
        <v>144</v>
      </c>
      <c r="AR38" t="s">
        <v>203</v>
      </c>
      <c r="AS38" t="s">
        <v>138</v>
      </c>
      <c r="AT38">
        <v>0</v>
      </c>
      <c r="AU38" t="s">
        <v>146</v>
      </c>
      <c r="AW38" t="s">
        <v>147</v>
      </c>
      <c r="AX38" s="17">
        <v>45716</v>
      </c>
      <c r="AY38" t="s">
        <v>148</v>
      </c>
      <c r="AZ38" t="s">
        <v>288</v>
      </c>
      <c r="BA38" s="18">
        <f t="shared" si="2"/>
        <v>0</v>
      </c>
      <c r="BB38" s="18">
        <f t="shared" si="3"/>
        <v>1311232.7250000001</v>
      </c>
    </row>
    <row r="39" spans="1:54" x14ac:dyDescent="0.25">
      <c r="A39" s="17">
        <v>45716</v>
      </c>
      <c r="B39" t="s">
        <v>205</v>
      </c>
      <c r="C39" t="s">
        <v>151</v>
      </c>
      <c r="D39" t="s">
        <v>170</v>
      </c>
      <c r="E39" t="s">
        <v>162</v>
      </c>
      <c r="F39" t="s">
        <v>171</v>
      </c>
      <c r="G39" t="s">
        <v>192</v>
      </c>
      <c r="H39" t="s">
        <v>137</v>
      </c>
      <c r="I39">
        <v>0.99280000000000002</v>
      </c>
      <c r="K39" s="17">
        <v>45612</v>
      </c>
      <c r="L39" s="17">
        <v>47072</v>
      </c>
      <c r="M39" t="s">
        <v>138</v>
      </c>
      <c r="N39" t="s">
        <v>139</v>
      </c>
      <c r="O39" s="18">
        <v>1892909.36</v>
      </c>
      <c r="P39" s="18">
        <v>0</v>
      </c>
      <c r="Q39" s="18">
        <v>0</v>
      </c>
      <c r="R39" s="18">
        <v>0</v>
      </c>
      <c r="S39" s="18">
        <v>16537.669999999998</v>
      </c>
      <c r="T39" s="18">
        <v>1909447.03</v>
      </c>
      <c r="U39" s="18">
        <v>0</v>
      </c>
      <c r="V39" s="18">
        <v>0</v>
      </c>
      <c r="W39" s="18">
        <v>2480.65</v>
      </c>
      <c r="X39" s="18">
        <v>0</v>
      </c>
      <c r="Y39" s="18">
        <v>1906966.38</v>
      </c>
      <c r="Z39">
        <v>8.737E-3</v>
      </c>
      <c r="AA39">
        <v>0.99280000000000002</v>
      </c>
      <c r="AD39">
        <v>8.8000000000000005E-3</v>
      </c>
      <c r="AG39">
        <v>4.4999999999999997E-3</v>
      </c>
      <c r="AH39">
        <v>18</v>
      </c>
      <c r="AI39">
        <v>1356</v>
      </c>
      <c r="AJ39" t="s">
        <v>140</v>
      </c>
      <c r="AK39" t="s">
        <v>141</v>
      </c>
      <c r="AL39">
        <v>0.15</v>
      </c>
      <c r="AM39" t="s">
        <v>141</v>
      </c>
      <c r="AN39" t="s">
        <v>141</v>
      </c>
      <c r="AO39" t="s">
        <v>157</v>
      </c>
      <c r="AP39" t="s">
        <v>162</v>
      </c>
      <c r="AQ39" t="s">
        <v>144</v>
      </c>
      <c r="AR39" t="s">
        <v>206</v>
      </c>
      <c r="AS39" t="s">
        <v>138</v>
      </c>
      <c r="AT39">
        <v>0</v>
      </c>
      <c r="AU39" t="s">
        <v>146</v>
      </c>
      <c r="AW39" t="s">
        <v>147</v>
      </c>
      <c r="AX39" s="17">
        <v>45716</v>
      </c>
      <c r="AY39" t="s">
        <v>148</v>
      </c>
      <c r="AZ39" t="s">
        <v>289</v>
      </c>
      <c r="BA39" s="18">
        <f t="shared" si="2"/>
        <v>0</v>
      </c>
      <c r="BB39" s="18">
        <f t="shared" si="3"/>
        <v>1901178.1950000001</v>
      </c>
    </row>
    <row r="40" spans="1:54" x14ac:dyDescent="0.25">
      <c r="A40" s="17">
        <v>45716</v>
      </c>
      <c r="B40" t="s">
        <v>208</v>
      </c>
      <c r="C40" t="s">
        <v>169</v>
      </c>
      <c r="D40" t="s">
        <v>209</v>
      </c>
      <c r="E40" t="s">
        <v>153</v>
      </c>
      <c r="F40" t="s">
        <v>210</v>
      </c>
      <c r="G40" t="s">
        <v>211</v>
      </c>
      <c r="H40" t="s">
        <v>137</v>
      </c>
      <c r="I40">
        <v>0.2329</v>
      </c>
      <c r="K40" s="17">
        <v>45492</v>
      </c>
      <c r="L40" s="17"/>
      <c r="M40" t="s">
        <v>186</v>
      </c>
      <c r="N40" t="s">
        <v>155</v>
      </c>
      <c r="O40" s="18">
        <v>2498657.4700000002</v>
      </c>
      <c r="P40" s="18">
        <v>0</v>
      </c>
      <c r="Q40" s="18">
        <v>0</v>
      </c>
      <c r="R40" s="18">
        <v>0</v>
      </c>
      <c r="S40" s="18">
        <v>5121.05</v>
      </c>
      <c r="T40" s="18">
        <v>2503010.36</v>
      </c>
      <c r="U40" s="18">
        <v>768.16</v>
      </c>
      <c r="V40" s="18">
        <v>0</v>
      </c>
      <c r="W40" s="18">
        <v>0</v>
      </c>
      <c r="X40" s="18">
        <v>0</v>
      </c>
      <c r="Y40" s="18">
        <v>2503010.36</v>
      </c>
      <c r="Z40">
        <v>2.0500000000000002E-3</v>
      </c>
      <c r="AA40">
        <v>0.2329</v>
      </c>
      <c r="AD40">
        <v>8.8000000000000005E-3</v>
      </c>
      <c r="AG40">
        <v>4.4999999999999997E-3</v>
      </c>
      <c r="AH40">
        <v>18</v>
      </c>
      <c r="AJ40" t="s">
        <v>187</v>
      </c>
      <c r="AK40" t="s">
        <v>142</v>
      </c>
      <c r="AL40">
        <v>0.15</v>
      </c>
      <c r="AM40" t="s">
        <v>141</v>
      </c>
      <c r="AN40" t="s">
        <v>141</v>
      </c>
      <c r="AO40" t="s">
        <v>197</v>
      </c>
      <c r="AP40" t="s">
        <v>153</v>
      </c>
      <c r="AQ40" t="s">
        <v>144</v>
      </c>
      <c r="AR40" t="s">
        <v>212</v>
      </c>
      <c r="AS40" t="s">
        <v>189</v>
      </c>
      <c r="AT40">
        <v>0</v>
      </c>
      <c r="AU40" t="s">
        <v>146</v>
      </c>
      <c r="AW40" t="s">
        <v>147</v>
      </c>
      <c r="AX40" s="17">
        <v>45716</v>
      </c>
      <c r="AY40" t="s">
        <v>148</v>
      </c>
      <c r="AZ40" t="s">
        <v>290</v>
      </c>
      <c r="BA40" s="18">
        <f t="shared" si="2"/>
        <v>0</v>
      </c>
      <c r="BB40" s="18">
        <f t="shared" si="3"/>
        <v>2500833.915</v>
      </c>
    </row>
    <row r="41" spans="1:54" x14ac:dyDescent="0.25">
      <c r="A41" s="17">
        <v>45716</v>
      </c>
      <c r="B41" t="s">
        <v>214</v>
      </c>
      <c r="C41" t="s">
        <v>151</v>
      </c>
      <c r="D41" t="s">
        <v>215</v>
      </c>
      <c r="E41" t="s">
        <v>134</v>
      </c>
      <c r="F41" t="s">
        <v>216</v>
      </c>
      <c r="G41" t="s">
        <v>217</v>
      </c>
      <c r="H41" t="s">
        <v>137</v>
      </c>
      <c r="I41">
        <v>0.86270000000000002</v>
      </c>
      <c r="K41" s="17">
        <v>45319</v>
      </c>
      <c r="L41" s="17"/>
      <c r="M41" t="s">
        <v>186</v>
      </c>
      <c r="N41" t="s">
        <v>155</v>
      </c>
      <c r="O41" s="18">
        <v>2006908.66</v>
      </c>
      <c r="P41" s="18">
        <v>0</v>
      </c>
      <c r="Q41" s="18">
        <v>0</v>
      </c>
      <c r="R41" s="18">
        <v>0</v>
      </c>
      <c r="S41" s="18">
        <v>15235.97</v>
      </c>
      <c r="T41" s="18">
        <v>2022144.63</v>
      </c>
      <c r="U41" s="18">
        <v>0</v>
      </c>
      <c r="V41" s="18">
        <v>0</v>
      </c>
      <c r="W41" s="18">
        <v>2285.4</v>
      </c>
      <c r="X41" s="18">
        <v>0</v>
      </c>
      <c r="Y41" s="18">
        <v>2019859.23</v>
      </c>
      <c r="Z41">
        <v>7.5919999999999998E-3</v>
      </c>
      <c r="AA41">
        <v>0.86270000000000002</v>
      </c>
      <c r="AD41">
        <v>8.8000000000000005E-3</v>
      </c>
      <c r="AG41">
        <v>4.4999999999999997E-3</v>
      </c>
      <c r="AH41">
        <v>18</v>
      </c>
      <c r="AJ41" t="s">
        <v>187</v>
      </c>
      <c r="AK41" t="s">
        <v>141</v>
      </c>
      <c r="AL41">
        <v>0.15</v>
      </c>
      <c r="AM41" t="s">
        <v>141</v>
      </c>
      <c r="AN41" t="s">
        <v>141</v>
      </c>
      <c r="AO41" t="s">
        <v>197</v>
      </c>
      <c r="AP41" t="s">
        <v>134</v>
      </c>
      <c r="AQ41" t="s">
        <v>144</v>
      </c>
      <c r="AR41" t="s">
        <v>218</v>
      </c>
      <c r="AS41" t="s">
        <v>189</v>
      </c>
      <c r="AT41">
        <v>0</v>
      </c>
      <c r="AU41" t="s">
        <v>146</v>
      </c>
      <c r="AW41" t="s">
        <v>147</v>
      </c>
      <c r="AX41" s="17">
        <v>45716</v>
      </c>
      <c r="AY41" t="s">
        <v>148</v>
      </c>
      <c r="AZ41" t="s">
        <v>291</v>
      </c>
      <c r="BA41" s="18">
        <f t="shared" si="2"/>
        <v>0</v>
      </c>
      <c r="BB41" s="18">
        <f t="shared" si="3"/>
        <v>2014526.645</v>
      </c>
    </row>
    <row r="42" spans="1:54" x14ac:dyDescent="0.25">
      <c r="A42" s="17">
        <v>45716</v>
      </c>
      <c r="B42" t="s">
        <v>220</v>
      </c>
      <c r="C42" t="s">
        <v>132</v>
      </c>
      <c r="D42" t="s">
        <v>170</v>
      </c>
      <c r="E42" t="s">
        <v>153</v>
      </c>
      <c r="F42" t="s">
        <v>163</v>
      </c>
      <c r="G42" t="s">
        <v>221</v>
      </c>
      <c r="H42" t="s">
        <v>165</v>
      </c>
      <c r="J42">
        <v>5.4999999999999997E-3</v>
      </c>
      <c r="K42" s="17">
        <v>45335</v>
      </c>
      <c r="L42" s="17">
        <v>47041</v>
      </c>
      <c r="M42" t="s">
        <v>138</v>
      </c>
      <c r="N42" t="s">
        <v>139</v>
      </c>
      <c r="O42" s="18">
        <v>2134082.7999999998</v>
      </c>
      <c r="P42" s="18">
        <v>0</v>
      </c>
      <c r="Q42" s="18">
        <v>0</v>
      </c>
      <c r="R42" s="18">
        <v>0</v>
      </c>
      <c r="S42" s="18">
        <v>21340.83</v>
      </c>
      <c r="T42" s="18">
        <v>2155423.63</v>
      </c>
      <c r="U42" s="18">
        <v>0</v>
      </c>
      <c r="V42" s="18">
        <v>0</v>
      </c>
      <c r="W42" s="18">
        <v>3201.12</v>
      </c>
      <c r="X42" s="18">
        <v>0</v>
      </c>
      <c r="Y42" s="18">
        <v>2152222.5099999998</v>
      </c>
      <c r="Z42">
        <v>0.01</v>
      </c>
      <c r="AA42">
        <v>1.1364000000000001</v>
      </c>
      <c r="AD42">
        <v>8.8000000000000005E-3</v>
      </c>
      <c r="AG42">
        <v>4.4999999999999997E-3</v>
      </c>
      <c r="AH42">
        <v>18</v>
      </c>
      <c r="AI42">
        <v>1325</v>
      </c>
      <c r="AJ42" t="s">
        <v>140</v>
      </c>
      <c r="AK42" t="s">
        <v>141</v>
      </c>
      <c r="AL42">
        <v>0.15</v>
      </c>
      <c r="AM42" t="s">
        <v>141</v>
      </c>
      <c r="AN42" t="s">
        <v>141</v>
      </c>
      <c r="AO42" t="s">
        <v>143</v>
      </c>
      <c r="AP42" t="s">
        <v>153</v>
      </c>
      <c r="AQ42" t="s">
        <v>144</v>
      </c>
      <c r="AR42" t="s">
        <v>222</v>
      </c>
      <c r="AS42" t="s">
        <v>138</v>
      </c>
      <c r="AT42">
        <v>0</v>
      </c>
      <c r="AU42" t="s">
        <v>146</v>
      </c>
      <c r="AW42" t="s">
        <v>147</v>
      </c>
      <c r="AX42" s="17">
        <v>45716</v>
      </c>
      <c r="AY42" t="s">
        <v>148</v>
      </c>
      <c r="AZ42" t="s">
        <v>292</v>
      </c>
      <c r="BA42" s="18">
        <f t="shared" si="2"/>
        <v>0</v>
      </c>
      <c r="BB42" s="18">
        <f t="shared" si="3"/>
        <v>2144753.2149999999</v>
      </c>
    </row>
    <row r="43" spans="1:54" x14ac:dyDescent="0.25">
      <c r="A43" s="17">
        <v>45716</v>
      </c>
      <c r="B43" t="s">
        <v>224</v>
      </c>
      <c r="C43" t="s">
        <v>151</v>
      </c>
      <c r="D43" t="s">
        <v>170</v>
      </c>
      <c r="E43" t="s">
        <v>134</v>
      </c>
      <c r="F43" t="s">
        <v>201</v>
      </c>
      <c r="G43" t="s">
        <v>225</v>
      </c>
      <c r="H43" t="s">
        <v>137</v>
      </c>
      <c r="I43">
        <v>1.0104</v>
      </c>
      <c r="K43" s="17">
        <v>45614</v>
      </c>
      <c r="L43" s="17">
        <v>46702</v>
      </c>
      <c r="M43" t="s">
        <v>138</v>
      </c>
      <c r="N43" t="s">
        <v>139</v>
      </c>
      <c r="O43" s="18">
        <v>1244932.69</v>
      </c>
      <c r="P43" s="18">
        <v>0</v>
      </c>
      <c r="Q43" s="18">
        <v>0</v>
      </c>
      <c r="R43" s="18">
        <v>0</v>
      </c>
      <c r="S43" s="18">
        <v>11069.34</v>
      </c>
      <c r="T43" s="18">
        <v>1256002.03</v>
      </c>
      <c r="U43" s="18">
        <v>0</v>
      </c>
      <c r="V43" s="18">
        <v>0</v>
      </c>
      <c r="W43" s="18">
        <v>1660.4</v>
      </c>
      <c r="X43" s="18">
        <v>0</v>
      </c>
      <c r="Y43" s="18">
        <v>1254341.6299999999</v>
      </c>
      <c r="Z43">
        <v>8.8920000000000006E-3</v>
      </c>
      <c r="AA43">
        <v>1.0104</v>
      </c>
      <c r="AD43">
        <v>8.8000000000000005E-3</v>
      </c>
      <c r="AG43">
        <v>4.4999999999999997E-3</v>
      </c>
      <c r="AH43">
        <v>18</v>
      </c>
      <c r="AI43">
        <v>986</v>
      </c>
      <c r="AJ43" t="s">
        <v>140</v>
      </c>
      <c r="AK43" t="s">
        <v>141</v>
      </c>
      <c r="AL43">
        <v>0.15</v>
      </c>
      <c r="AM43" t="s">
        <v>141</v>
      </c>
      <c r="AN43" t="s">
        <v>142</v>
      </c>
      <c r="AO43" t="s">
        <v>197</v>
      </c>
      <c r="AP43" t="s">
        <v>134</v>
      </c>
      <c r="AQ43" t="s">
        <v>144</v>
      </c>
      <c r="AR43" t="s">
        <v>226</v>
      </c>
      <c r="AS43" t="s">
        <v>138</v>
      </c>
      <c r="AT43">
        <v>0</v>
      </c>
      <c r="AU43" t="s">
        <v>146</v>
      </c>
      <c r="AW43" t="s">
        <v>147</v>
      </c>
      <c r="AX43" s="17">
        <v>45716</v>
      </c>
      <c r="AY43" t="s">
        <v>148</v>
      </c>
      <c r="AZ43" t="s">
        <v>293</v>
      </c>
      <c r="BA43" s="18">
        <f t="shared" si="2"/>
        <v>0</v>
      </c>
      <c r="BB43" s="18">
        <f t="shared" si="3"/>
        <v>1250467.3599999999</v>
      </c>
    </row>
    <row r="44" spans="1:54" x14ac:dyDescent="0.25">
      <c r="A44" s="17">
        <v>45716</v>
      </c>
      <c r="B44" t="s">
        <v>228</v>
      </c>
      <c r="C44" t="s">
        <v>151</v>
      </c>
      <c r="D44" t="s">
        <v>170</v>
      </c>
      <c r="E44" t="s">
        <v>153</v>
      </c>
      <c r="F44" t="s">
        <v>210</v>
      </c>
      <c r="G44" t="s">
        <v>211</v>
      </c>
      <c r="H44" t="s">
        <v>137</v>
      </c>
      <c r="I44">
        <v>0.32629999999999998</v>
      </c>
      <c r="K44" s="17">
        <v>45368</v>
      </c>
      <c r="L44" s="17"/>
      <c r="M44" t="s">
        <v>186</v>
      </c>
      <c r="N44" t="s">
        <v>155</v>
      </c>
      <c r="O44" s="18">
        <v>1297182.99</v>
      </c>
      <c r="P44" s="18">
        <v>0</v>
      </c>
      <c r="Q44" s="18">
        <v>0</v>
      </c>
      <c r="R44" s="18">
        <v>0</v>
      </c>
      <c r="S44" s="18">
        <v>3724.78</v>
      </c>
      <c r="T44" s="18">
        <v>1300349.05</v>
      </c>
      <c r="U44" s="18">
        <v>558.72</v>
      </c>
      <c r="V44" s="18">
        <v>0</v>
      </c>
      <c r="W44" s="18">
        <v>0</v>
      </c>
      <c r="X44" s="18">
        <v>0</v>
      </c>
      <c r="Y44" s="18">
        <v>1300349.05</v>
      </c>
      <c r="Z44">
        <v>2.8709999999999999E-3</v>
      </c>
      <c r="AA44">
        <v>0.32629999999999998</v>
      </c>
      <c r="AD44">
        <v>8.8000000000000005E-3</v>
      </c>
      <c r="AG44">
        <v>4.4999999999999997E-3</v>
      </c>
      <c r="AH44">
        <v>18</v>
      </c>
      <c r="AJ44" t="s">
        <v>187</v>
      </c>
      <c r="AK44" t="s">
        <v>142</v>
      </c>
      <c r="AL44">
        <v>0.15</v>
      </c>
      <c r="AM44" t="s">
        <v>141</v>
      </c>
      <c r="AN44" t="s">
        <v>141</v>
      </c>
      <c r="AO44" t="s">
        <v>143</v>
      </c>
      <c r="AP44" t="s">
        <v>153</v>
      </c>
      <c r="AQ44" t="s">
        <v>144</v>
      </c>
      <c r="AR44" t="s">
        <v>229</v>
      </c>
      <c r="AS44" t="s">
        <v>189</v>
      </c>
      <c r="AT44">
        <v>0</v>
      </c>
      <c r="AU44" t="s">
        <v>146</v>
      </c>
      <c r="AW44" t="s">
        <v>147</v>
      </c>
      <c r="AX44" s="17">
        <v>45716</v>
      </c>
      <c r="AY44" t="s">
        <v>148</v>
      </c>
      <c r="AZ44" t="s">
        <v>294</v>
      </c>
      <c r="BA44" s="18">
        <f t="shared" si="2"/>
        <v>0</v>
      </c>
      <c r="BB44" s="18">
        <f t="shared" si="3"/>
        <v>1298766.02</v>
      </c>
    </row>
    <row r="45" spans="1:54" x14ac:dyDescent="0.25">
      <c r="A45" s="17">
        <v>45716</v>
      </c>
      <c r="B45" t="s">
        <v>231</v>
      </c>
      <c r="C45" t="s">
        <v>151</v>
      </c>
      <c r="D45" t="s">
        <v>152</v>
      </c>
      <c r="E45" t="s">
        <v>162</v>
      </c>
      <c r="F45" t="s">
        <v>184</v>
      </c>
      <c r="G45" t="s">
        <v>196</v>
      </c>
      <c r="H45" t="s">
        <v>137</v>
      </c>
      <c r="I45">
        <v>0.98770000000000002</v>
      </c>
      <c r="K45" s="17">
        <v>45468</v>
      </c>
      <c r="L45" s="17"/>
      <c r="M45" t="s">
        <v>186</v>
      </c>
      <c r="N45" t="s">
        <v>155</v>
      </c>
      <c r="O45" s="18">
        <v>2328387.02</v>
      </c>
      <c r="P45" s="18">
        <v>0</v>
      </c>
      <c r="Q45" s="18">
        <v>0</v>
      </c>
      <c r="R45" s="18">
        <v>0</v>
      </c>
      <c r="S45" s="18">
        <v>20237.78</v>
      </c>
      <c r="T45" s="18">
        <v>2345589.13</v>
      </c>
      <c r="U45" s="18">
        <v>3035.67</v>
      </c>
      <c r="V45" s="18">
        <v>0</v>
      </c>
      <c r="W45" s="18">
        <v>0</v>
      </c>
      <c r="X45" s="18">
        <v>0</v>
      </c>
      <c r="Y45" s="18">
        <v>2345589.13</v>
      </c>
      <c r="Z45">
        <v>8.6920000000000001E-3</v>
      </c>
      <c r="AA45">
        <v>0.98770000000000002</v>
      </c>
      <c r="AD45">
        <v>8.8000000000000005E-3</v>
      </c>
      <c r="AG45">
        <v>4.4999999999999997E-3</v>
      </c>
      <c r="AH45">
        <v>18</v>
      </c>
      <c r="AJ45" t="s">
        <v>187</v>
      </c>
      <c r="AK45" t="s">
        <v>142</v>
      </c>
      <c r="AL45">
        <v>0.15</v>
      </c>
      <c r="AM45" t="s">
        <v>141</v>
      </c>
      <c r="AN45" t="s">
        <v>141</v>
      </c>
      <c r="AO45" t="s">
        <v>197</v>
      </c>
      <c r="AP45" t="s">
        <v>162</v>
      </c>
      <c r="AQ45" t="s">
        <v>144</v>
      </c>
      <c r="AR45" t="s">
        <v>232</v>
      </c>
      <c r="AS45" t="s">
        <v>189</v>
      </c>
      <c r="AT45">
        <v>0</v>
      </c>
      <c r="AU45" t="s">
        <v>146</v>
      </c>
      <c r="AW45" t="s">
        <v>147</v>
      </c>
      <c r="AX45" s="17">
        <v>45716</v>
      </c>
      <c r="AY45" t="s">
        <v>148</v>
      </c>
      <c r="AZ45" t="s">
        <v>295</v>
      </c>
      <c r="BA45" s="18">
        <f t="shared" si="2"/>
        <v>0</v>
      </c>
      <c r="BB45" s="18">
        <f t="shared" si="3"/>
        <v>2336988.0750000002</v>
      </c>
    </row>
    <row r="46" spans="1:54" x14ac:dyDescent="0.25">
      <c r="A46" s="17">
        <v>45716</v>
      </c>
      <c r="B46" t="s">
        <v>234</v>
      </c>
      <c r="C46" t="s">
        <v>169</v>
      </c>
      <c r="D46" t="s">
        <v>177</v>
      </c>
      <c r="E46" t="s">
        <v>153</v>
      </c>
      <c r="F46" t="s">
        <v>201</v>
      </c>
      <c r="G46" t="s">
        <v>235</v>
      </c>
      <c r="H46" t="s">
        <v>137</v>
      </c>
      <c r="I46">
        <v>0.98409999999999997</v>
      </c>
      <c r="K46" s="17">
        <v>45459</v>
      </c>
      <c r="L46" s="17">
        <v>45700</v>
      </c>
      <c r="M46" t="s">
        <v>138</v>
      </c>
      <c r="N46" t="s">
        <v>155</v>
      </c>
      <c r="O46" s="18">
        <v>2221701.71</v>
      </c>
      <c r="P46" s="18">
        <v>0</v>
      </c>
      <c r="Q46" s="18">
        <v>0</v>
      </c>
      <c r="R46" s="18">
        <v>0</v>
      </c>
      <c r="S46" s="18">
        <v>19240.11</v>
      </c>
      <c r="T46" s="18">
        <v>2240941.8199999998</v>
      </c>
      <c r="U46" s="18">
        <v>0</v>
      </c>
      <c r="V46" s="18">
        <v>0</v>
      </c>
      <c r="W46" s="18">
        <v>2886.02</v>
      </c>
      <c r="X46" s="18">
        <v>0</v>
      </c>
      <c r="Y46" s="18">
        <v>2238055.7999999998</v>
      </c>
      <c r="Z46">
        <v>8.6599999999999993E-3</v>
      </c>
      <c r="AA46">
        <v>0.98409999999999997</v>
      </c>
      <c r="AD46">
        <v>8.8000000000000005E-3</v>
      </c>
      <c r="AG46">
        <v>4.4999999999999997E-3</v>
      </c>
      <c r="AH46">
        <v>18</v>
      </c>
      <c r="AI46">
        <v>-16</v>
      </c>
      <c r="AJ46" t="s">
        <v>156</v>
      </c>
      <c r="AK46" t="s">
        <v>141</v>
      </c>
      <c r="AL46">
        <v>0.15</v>
      </c>
      <c r="AM46" t="s">
        <v>141</v>
      </c>
      <c r="AN46" t="s">
        <v>142</v>
      </c>
      <c r="AO46" t="s">
        <v>197</v>
      </c>
      <c r="AP46" t="s">
        <v>153</v>
      </c>
      <c r="AQ46" t="s">
        <v>144</v>
      </c>
      <c r="AR46" t="s">
        <v>236</v>
      </c>
      <c r="AS46" t="s">
        <v>138</v>
      </c>
      <c r="AT46">
        <v>0</v>
      </c>
      <c r="AU46" t="s">
        <v>146</v>
      </c>
      <c r="AW46" t="s">
        <v>147</v>
      </c>
      <c r="AX46" s="17">
        <v>45716</v>
      </c>
      <c r="AY46" t="s">
        <v>148</v>
      </c>
      <c r="AZ46" t="s">
        <v>296</v>
      </c>
      <c r="BA46" s="18">
        <f t="shared" si="2"/>
        <v>0</v>
      </c>
      <c r="BB46" s="18">
        <f t="shared" si="3"/>
        <v>2231321.7649999997</v>
      </c>
    </row>
    <row r="47" spans="1:54" x14ac:dyDescent="0.25">
      <c r="A47" s="17">
        <v>45716</v>
      </c>
      <c r="B47" t="s">
        <v>238</v>
      </c>
      <c r="C47" t="s">
        <v>151</v>
      </c>
      <c r="D47" t="s">
        <v>215</v>
      </c>
      <c r="E47" t="s">
        <v>134</v>
      </c>
      <c r="F47" t="s">
        <v>135</v>
      </c>
      <c r="G47" t="s">
        <v>136</v>
      </c>
      <c r="H47" t="s">
        <v>137</v>
      </c>
      <c r="I47">
        <v>0.92620000000000002</v>
      </c>
      <c r="K47" s="17">
        <v>45642</v>
      </c>
      <c r="L47" s="17">
        <v>45925</v>
      </c>
      <c r="M47" t="s">
        <v>138</v>
      </c>
      <c r="N47" t="s">
        <v>155</v>
      </c>
      <c r="O47" s="18">
        <v>2390630.7200000002</v>
      </c>
      <c r="P47" s="18">
        <v>0</v>
      </c>
      <c r="Q47" s="18">
        <v>0</v>
      </c>
      <c r="R47" s="18">
        <v>0</v>
      </c>
      <c r="S47" s="18">
        <v>19484.98</v>
      </c>
      <c r="T47" s="18">
        <v>2410115.7000000002</v>
      </c>
      <c r="U47" s="18">
        <v>0</v>
      </c>
      <c r="V47" s="18">
        <v>0</v>
      </c>
      <c r="W47" s="18">
        <v>0</v>
      </c>
      <c r="X47" s="18">
        <v>0</v>
      </c>
      <c r="Y47" s="18">
        <v>2410115.7000000002</v>
      </c>
      <c r="Z47">
        <v>8.1510000000000003E-3</v>
      </c>
      <c r="AA47">
        <v>0.92620000000000002</v>
      </c>
      <c r="AD47">
        <v>8.8000000000000005E-3</v>
      </c>
      <c r="AG47">
        <v>4.4999999999999997E-3</v>
      </c>
      <c r="AH47">
        <v>18</v>
      </c>
      <c r="AI47">
        <v>209</v>
      </c>
      <c r="AJ47" t="s">
        <v>173</v>
      </c>
      <c r="AK47" t="s">
        <v>141</v>
      </c>
      <c r="AL47">
        <v>0</v>
      </c>
      <c r="AM47" t="s">
        <v>142</v>
      </c>
      <c r="AN47" t="s">
        <v>142</v>
      </c>
      <c r="AO47" t="s">
        <v>157</v>
      </c>
      <c r="AP47" t="s">
        <v>134</v>
      </c>
      <c r="AQ47" t="s">
        <v>144</v>
      </c>
      <c r="AR47" t="s">
        <v>239</v>
      </c>
      <c r="AS47" t="s">
        <v>138</v>
      </c>
      <c r="AT47">
        <v>0</v>
      </c>
      <c r="AU47" t="s">
        <v>146</v>
      </c>
      <c r="AW47" t="s">
        <v>147</v>
      </c>
      <c r="AX47" s="17">
        <v>45716</v>
      </c>
      <c r="AY47" t="s">
        <v>148</v>
      </c>
      <c r="AZ47" t="s">
        <v>297</v>
      </c>
      <c r="BA47" s="18">
        <f t="shared" si="2"/>
        <v>0</v>
      </c>
      <c r="BB47" s="18">
        <f t="shared" si="3"/>
        <v>2400373.21</v>
      </c>
    </row>
    <row r="48" spans="1:54" x14ac:dyDescent="0.25">
      <c r="A48" s="17">
        <v>45716</v>
      </c>
      <c r="B48" t="s">
        <v>241</v>
      </c>
      <c r="C48" t="s">
        <v>132</v>
      </c>
      <c r="D48" t="s">
        <v>177</v>
      </c>
      <c r="E48" t="s">
        <v>183</v>
      </c>
      <c r="F48" t="s">
        <v>242</v>
      </c>
      <c r="G48" t="s">
        <v>243</v>
      </c>
      <c r="H48" t="s">
        <v>137</v>
      </c>
      <c r="I48">
        <v>0.91990000000000005</v>
      </c>
      <c r="K48" s="17">
        <v>45563</v>
      </c>
      <c r="L48" s="17">
        <v>47306</v>
      </c>
      <c r="M48" t="s">
        <v>138</v>
      </c>
      <c r="N48" t="s">
        <v>139</v>
      </c>
      <c r="O48" s="18">
        <v>1036510.78</v>
      </c>
      <c r="P48" s="18">
        <v>0</v>
      </c>
      <c r="Q48" s="18">
        <v>0</v>
      </c>
      <c r="R48" s="18">
        <v>0</v>
      </c>
      <c r="S48" s="18">
        <v>8390.68</v>
      </c>
      <c r="T48" s="18">
        <v>1044901.46</v>
      </c>
      <c r="U48" s="18">
        <v>0</v>
      </c>
      <c r="V48" s="18">
        <v>0</v>
      </c>
      <c r="W48" s="18">
        <v>0</v>
      </c>
      <c r="X48" s="18">
        <v>0</v>
      </c>
      <c r="Y48" s="18">
        <v>1044901.46</v>
      </c>
      <c r="Z48">
        <v>8.0949999999999998E-3</v>
      </c>
      <c r="AA48">
        <v>0.91990000000000005</v>
      </c>
      <c r="AD48">
        <v>8.8000000000000005E-3</v>
      </c>
      <c r="AG48">
        <v>4.4999999999999997E-3</v>
      </c>
      <c r="AH48">
        <v>18</v>
      </c>
      <c r="AI48">
        <v>1590</v>
      </c>
      <c r="AJ48" t="s">
        <v>140</v>
      </c>
      <c r="AK48" t="s">
        <v>141</v>
      </c>
      <c r="AL48">
        <v>0</v>
      </c>
      <c r="AM48" t="s">
        <v>142</v>
      </c>
      <c r="AN48" t="s">
        <v>142</v>
      </c>
      <c r="AO48" t="s">
        <v>143</v>
      </c>
      <c r="AP48" t="s">
        <v>183</v>
      </c>
      <c r="AQ48" t="s">
        <v>144</v>
      </c>
      <c r="AR48" t="s">
        <v>244</v>
      </c>
      <c r="AS48" t="s">
        <v>138</v>
      </c>
      <c r="AT48">
        <v>0</v>
      </c>
      <c r="AU48" t="s">
        <v>146</v>
      </c>
      <c r="AW48" t="s">
        <v>147</v>
      </c>
      <c r="AX48" s="17">
        <v>45716</v>
      </c>
      <c r="AY48" t="s">
        <v>148</v>
      </c>
      <c r="AZ48" t="s">
        <v>298</v>
      </c>
      <c r="BA48" s="18">
        <f t="shared" si="2"/>
        <v>0</v>
      </c>
      <c r="BB48" s="18">
        <f t="shared" si="3"/>
        <v>1040706.12</v>
      </c>
    </row>
    <row r="49" spans="1:54" x14ac:dyDescent="0.25">
      <c r="A49" s="17">
        <v>45716</v>
      </c>
      <c r="B49" t="s">
        <v>246</v>
      </c>
      <c r="C49" t="s">
        <v>151</v>
      </c>
      <c r="D49" t="s">
        <v>209</v>
      </c>
      <c r="E49" t="s">
        <v>178</v>
      </c>
      <c r="F49" t="s">
        <v>171</v>
      </c>
      <c r="G49" t="s">
        <v>247</v>
      </c>
      <c r="H49" t="s">
        <v>137</v>
      </c>
      <c r="I49">
        <v>0.99039999999999995</v>
      </c>
      <c r="K49" s="17">
        <v>45550</v>
      </c>
      <c r="L49" s="17">
        <v>45755</v>
      </c>
      <c r="M49" t="s">
        <v>138</v>
      </c>
      <c r="N49" t="s">
        <v>155</v>
      </c>
      <c r="O49" s="18">
        <v>1420346.93</v>
      </c>
      <c r="P49" s="18">
        <v>291416.18</v>
      </c>
      <c r="Q49" s="18">
        <v>385388.38</v>
      </c>
      <c r="R49" s="18">
        <v>0</v>
      </c>
      <c r="S49" s="18">
        <v>11969.55</v>
      </c>
      <c r="T49" s="18">
        <v>1338344.28</v>
      </c>
      <c r="U49" s="18">
        <v>0</v>
      </c>
      <c r="V49" s="18">
        <v>0</v>
      </c>
      <c r="W49" s="18">
        <v>1795.43</v>
      </c>
      <c r="X49" s="18">
        <v>0</v>
      </c>
      <c r="Y49" s="18">
        <v>1336548.8500000001</v>
      </c>
      <c r="Z49">
        <v>6.9930000000000001E-3</v>
      </c>
      <c r="AA49">
        <v>0.79459999999999997</v>
      </c>
      <c r="AD49">
        <v>8.8000000000000005E-3</v>
      </c>
      <c r="AG49">
        <v>4.4999999999999997E-3</v>
      </c>
      <c r="AH49">
        <v>18</v>
      </c>
      <c r="AI49">
        <v>39</v>
      </c>
      <c r="AJ49" t="s">
        <v>156</v>
      </c>
      <c r="AK49" t="s">
        <v>141</v>
      </c>
      <c r="AL49">
        <v>0.15</v>
      </c>
      <c r="AM49" t="s">
        <v>141</v>
      </c>
      <c r="AN49" t="s">
        <v>141</v>
      </c>
      <c r="AO49" t="s">
        <v>197</v>
      </c>
      <c r="AP49" t="s">
        <v>178</v>
      </c>
      <c r="AQ49" t="s">
        <v>144</v>
      </c>
      <c r="AR49" t="s">
        <v>248</v>
      </c>
      <c r="AS49" t="s">
        <v>138</v>
      </c>
      <c r="AT49">
        <v>0</v>
      </c>
      <c r="AU49" t="s">
        <v>146</v>
      </c>
      <c r="AW49" t="s">
        <v>147</v>
      </c>
      <c r="AX49" s="17">
        <v>45716</v>
      </c>
      <c r="AY49" t="s">
        <v>148</v>
      </c>
      <c r="AZ49" t="s">
        <v>299</v>
      </c>
      <c r="BA49" s="18">
        <f t="shared" si="2"/>
        <v>0</v>
      </c>
      <c r="BB49" s="18">
        <f t="shared" si="3"/>
        <v>1379345.605</v>
      </c>
    </row>
    <row r="50" spans="1:54" x14ac:dyDescent="0.25">
      <c r="A50" s="17">
        <v>45716</v>
      </c>
      <c r="B50" t="s">
        <v>250</v>
      </c>
      <c r="C50" t="s">
        <v>132</v>
      </c>
      <c r="D50" t="s">
        <v>251</v>
      </c>
      <c r="E50" t="s">
        <v>134</v>
      </c>
      <c r="F50" t="s">
        <v>184</v>
      </c>
      <c r="G50" t="s">
        <v>252</v>
      </c>
      <c r="H50" t="s">
        <v>137</v>
      </c>
      <c r="I50">
        <v>0.95140000000000002</v>
      </c>
      <c r="K50" s="17">
        <v>45345</v>
      </c>
      <c r="L50" s="17"/>
      <c r="M50" t="s">
        <v>186</v>
      </c>
      <c r="N50" t="s">
        <v>155</v>
      </c>
      <c r="O50" s="18">
        <v>2285705.21</v>
      </c>
      <c r="P50" s="18">
        <v>183005.66</v>
      </c>
      <c r="Q50" s="18">
        <v>0</v>
      </c>
      <c r="R50" s="18">
        <v>0</v>
      </c>
      <c r="S50" s="18">
        <v>19902.75</v>
      </c>
      <c r="T50" s="18">
        <v>2485628.21</v>
      </c>
      <c r="U50" s="18">
        <v>2985.41</v>
      </c>
      <c r="V50" s="18">
        <v>0</v>
      </c>
      <c r="W50" s="18">
        <v>0</v>
      </c>
      <c r="X50" s="18">
        <v>0</v>
      </c>
      <c r="Y50" s="18">
        <v>2485628.21</v>
      </c>
      <c r="Z50">
        <v>8.0619999999999997E-3</v>
      </c>
      <c r="AA50">
        <v>0.91610000000000003</v>
      </c>
      <c r="AD50">
        <v>8.8000000000000005E-3</v>
      </c>
      <c r="AG50">
        <v>4.4999999999999997E-3</v>
      </c>
      <c r="AH50">
        <v>18</v>
      </c>
      <c r="AJ50" t="s">
        <v>187</v>
      </c>
      <c r="AK50" t="s">
        <v>142</v>
      </c>
      <c r="AL50">
        <v>0.15</v>
      </c>
      <c r="AM50" t="s">
        <v>141</v>
      </c>
      <c r="AN50" t="s">
        <v>141</v>
      </c>
      <c r="AO50" t="s">
        <v>197</v>
      </c>
      <c r="AP50" t="s">
        <v>134</v>
      </c>
      <c r="AQ50" t="s">
        <v>144</v>
      </c>
      <c r="AR50" t="s">
        <v>253</v>
      </c>
      <c r="AS50" t="s">
        <v>189</v>
      </c>
      <c r="AT50">
        <v>0</v>
      </c>
      <c r="AU50" t="s">
        <v>146</v>
      </c>
      <c r="AW50" t="s">
        <v>147</v>
      </c>
      <c r="AX50" s="17">
        <v>45716</v>
      </c>
      <c r="AY50" t="s">
        <v>148</v>
      </c>
      <c r="AZ50" t="s">
        <v>300</v>
      </c>
      <c r="BA50" s="18">
        <f t="shared" si="2"/>
        <v>0</v>
      </c>
      <c r="BB50" s="18">
        <f t="shared" si="3"/>
        <v>2385666.71</v>
      </c>
    </row>
    <row r="51" spans="1:54" x14ac:dyDescent="0.25">
      <c r="A51" s="17">
        <v>45716</v>
      </c>
      <c r="B51" t="s">
        <v>255</v>
      </c>
      <c r="C51" t="s">
        <v>151</v>
      </c>
      <c r="D51" t="s">
        <v>152</v>
      </c>
      <c r="E51" t="s">
        <v>134</v>
      </c>
      <c r="F51" t="s">
        <v>171</v>
      </c>
      <c r="G51" t="s">
        <v>172</v>
      </c>
      <c r="H51" t="s">
        <v>137</v>
      </c>
      <c r="I51">
        <v>0.99260000000000004</v>
      </c>
      <c r="K51" s="17">
        <v>45543</v>
      </c>
      <c r="L51" s="17">
        <v>46707</v>
      </c>
      <c r="M51" t="s">
        <v>138</v>
      </c>
      <c r="N51" t="s">
        <v>139</v>
      </c>
      <c r="O51" s="18">
        <v>2364094.34</v>
      </c>
      <c r="P51" s="18">
        <v>0</v>
      </c>
      <c r="Q51" s="18">
        <v>0</v>
      </c>
      <c r="R51" s="18">
        <v>0</v>
      </c>
      <c r="S51" s="18">
        <v>20650.080000000002</v>
      </c>
      <c r="T51" s="18">
        <v>2384744.42</v>
      </c>
      <c r="U51" s="18">
        <v>0</v>
      </c>
      <c r="V51" s="18">
        <v>0</v>
      </c>
      <c r="W51" s="18">
        <v>3097.51</v>
      </c>
      <c r="X51" s="18">
        <v>0</v>
      </c>
      <c r="Y51" s="18">
        <v>2381646.91</v>
      </c>
      <c r="Z51">
        <v>8.7349999999999997E-3</v>
      </c>
      <c r="AA51">
        <v>0.99260000000000004</v>
      </c>
      <c r="AD51">
        <v>8.8000000000000005E-3</v>
      </c>
      <c r="AG51">
        <v>4.4999999999999997E-3</v>
      </c>
      <c r="AH51">
        <v>18</v>
      </c>
      <c r="AI51">
        <v>991</v>
      </c>
      <c r="AJ51" t="s">
        <v>140</v>
      </c>
      <c r="AK51" t="s">
        <v>141</v>
      </c>
      <c r="AL51">
        <v>0.15</v>
      </c>
      <c r="AM51" t="s">
        <v>141</v>
      </c>
      <c r="AN51" t="s">
        <v>141</v>
      </c>
      <c r="AO51" t="s">
        <v>143</v>
      </c>
      <c r="AP51" t="s">
        <v>134</v>
      </c>
      <c r="AQ51" t="s">
        <v>144</v>
      </c>
      <c r="AR51" t="s">
        <v>256</v>
      </c>
      <c r="AS51" t="s">
        <v>138</v>
      </c>
      <c r="AT51">
        <v>0</v>
      </c>
      <c r="AU51" t="s">
        <v>146</v>
      </c>
      <c r="AW51" t="s">
        <v>147</v>
      </c>
      <c r="AX51" s="17">
        <v>45716</v>
      </c>
      <c r="AY51" t="s">
        <v>148</v>
      </c>
      <c r="AZ51" t="s">
        <v>301</v>
      </c>
      <c r="BA51" s="18">
        <f t="shared" si="2"/>
        <v>0</v>
      </c>
      <c r="BB51" s="18">
        <f t="shared" si="3"/>
        <v>2374419.38</v>
      </c>
    </row>
    <row r="52" spans="1:54" x14ac:dyDescent="0.25">
      <c r="A52" s="17">
        <v>45716</v>
      </c>
      <c r="B52" t="s">
        <v>258</v>
      </c>
      <c r="C52" t="s">
        <v>169</v>
      </c>
      <c r="D52" t="s">
        <v>177</v>
      </c>
      <c r="E52" t="s">
        <v>162</v>
      </c>
      <c r="F52" t="s">
        <v>216</v>
      </c>
      <c r="G52" t="s">
        <v>259</v>
      </c>
      <c r="H52" t="s">
        <v>137</v>
      </c>
      <c r="I52">
        <v>0.80940000000000001</v>
      </c>
      <c r="K52" s="17">
        <v>45530</v>
      </c>
      <c r="L52" s="17"/>
      <c r="M52" t="s">
        <v>186</v>
      </c>
      <c r="N52" t="s">
        <v>155</v>
      </c>
      <c r="O52" s="18">
        <v>1677306.64</v>
      </c>
      <c r="P52" s="18">
        <v>0</v>
      </c>
      <c r="Q52" s="18">
        <v>0</v>
      </c>
      <c r="R52" s="18">
        <v>0</v>
      </c>
      <c r="S52" s="18">
        <v>11946.99</v>
      </c>
      <c r="T52" s="18">
        <v>1689253.63</v>
      </c>
      <c r="U52" s="18">
        <v>0</v>
      </c>
      <c r="V52" s="18">
        <v>0</v>
      </c>
      <c r="W52" s="18">
        <v>1792.05</v>
      </c>
      <c r="X52" s="18">
        <v>0</v>
      </c>
      <c r="Y52" s="18">
        <v>1687461.58</v>
      </c>
      <c r="Z52">
        <v>7.123E-3</v>
      </c>
      <c r="AA52">
        <v>0.80940000000000001</v>
      </c>
      <c r="AD52">
        <v>8.8000000000000005E-3</v>
      </c>
      <c r="AG52">
        <v>4.4999999999999997E-3</v>
      </c>
      <c r="AH52">
        <v>18</v>
      </c>
      <c r="AJ52" t="s">
        <v>187</v>
      </c>
      <c r="AK52" t="s">
        <v>141</v>
      </c>
      <c r="AL52">
        <v>0.15</v>
      </c>
      <c r="AM52" t="s">
        <v>141</v>
      </c>
      <c r="AN52" t="s">
        <v>141</v>
      </c>
      <c r="AO52" t="s">
        <v>197</v>
      </c>
      <c r="AP52" t="s">
        <v>162</v>
      </c>
      <c r="AQ52" t="s">
        <v>144</v>
      </c>
      <c r="AR52" t="s">
        <v>260</v>
      </c>
      <c r="AS52" t="s">
        <v>189</v>
      </c>
      <c r="AT52">
        <v>0</v>
      </c>
      <c r="AU52" t="s">
        <v>146</v>
      </c>
      <c r="AW52" t="s">
        <v>147</v>
      </c>
      <c r="AX52" s="17">
        <v>45716</v>
      </c>
      <c r="AY52" t="s">
        <v>148</v>
      </c>
      <c r="AZ52" t="s">
        <v>302</v>
      </c>
      <c r="BA52" s="18">
        <f t="shared" si="2"/>
        <v>0</v>
      </c>
      <c r="BB52" s="18">
        <f t="shared" si="3"/>
        <v>1683280.1349999998</v>
      </c>
    </row>
    <row r="53" spans="1:54" x14ac:dyDescent="0.25">
      <c r="A53" s="17">
        <v>45716</v>
      </c>
      <c r="B53" t="s">
        <v>262</v>
      </c>
      <c r="C53" t="s">
        <v>132</v>
      </c>
      <c r="D53" t="s">
        <v>133</v>
      </c>
      <c r="E53" t="s">
        <v>178</v>
      </c>
      <c r="F53" t="s">
        <v>171</v>
      </c>
      <c r="G53" t="s">
        <v>247</v>
      </c>
      <c r="H53" t="s">
        <v>137</v>
      </c>
      <c r="I53">
        <v>0.99119999999999997</v>
      </c>
      <c r="K53" s="17">
        <v>45488</v>
      </c>
      <c r="L53" s="17">
        <v>45982</v>
      </c>
      <c r="M53" t="s">
        <v>138</v>
      </c>
      <c r="N53" t="s">
        <v>155</v>
      </c>
      <c r="O53" s="18">
        <v>1851394.13</v>
      </c>
      <c r="P53" s="18">
        <v>136456.68</v>
      </c>
      <c r="Q53" s="18">
        <v>0</v>
      </c>
      <c r="R53" s="18">
        <v>0</v>
      </c>
      <c r="S53" s="18">
        <v>16744.02</v>
      </c>
      <c r="T53" s="18">
        <v>2004594.83</v>
      </c>
      <c r="U53" s="18">
        <v>0</v>
      </c>
      <c r="V53" s="18">
        <v>0</v>
      </c>
      <c r="W53" s="18">
        <v>2511.6</v>
      </c>
      <c r="X53" s="18">
        <v>0</v>
      </c>
      <c r="Y53" s="18">
        <v>2002083.23</v>
      </c>
      <c r="Z53">
        <v>8.4229999999999999E-3</v>
      </c>
      <c r="AA53">
        <v>0.95720000000000005</v>
      </c>
      <c r="AD53">
        <v>8.8000000000000005E-3</v>
      </c>
      <c r="AG53">
        <v>4.4999999999999997E-3</v>
      </c>
      <c r="AH53">
        <v>18</v>
      </c>
      <c r="AI53">
        <v>266</v>
      </c>
      <c r="AJ53" t="s">
        <v>173</v>
      </c>
      <c r="AK53" t="s">
        <v>141</v>
      </c>
      <c r="AL53">
        <v>0.15</v>
      </c>
      <c r="AM53" t="s">
        <v>141</v>
      </c>
      <c r="AN53" t="s">
        <v>141</v>
      </c>
      <c r="AO53" t="s">
        <v>157</v>
      </c>
      <c r="AP53" t="s">
        <v>178</v>
      </c>
      <c r="AQ53" t="s">
        <v>144</v>
      </c>
      <c r="AR53" t="s">
        <v>263</v>
      </c>
      <c r="AS53" t="s">
        <v>138</v>
      </c>
      <c r="AT53">
        <v>0</v>
      </c>
      <c r="AU53" t="s">
        <v>146</v>
      </c>
      <c r="AW53" t="s">
        <v>147</v>
      </c>
      <c r="AX53" s="17">
        <v>45716</v>
      </c>
      <c r="AY53" t="s">
        <v>148</v>
      </c>
      <c r="AZ53" t="s">
        <v>303</v>
      </c>
      <c r="BA53" s="18">
        <f t="shared" si="2"/>
        <v>0</v>
      </c>
      <c r="BB53" s="18">
        <f t="shared" si="3"/>
        <v>1927994.48</v>
      </c>
    </row>
    <row r="54" spans="1:54" x14ac:dyDescent="0.25">
      <c r="A54" s="17">
        <v>45716</v>
      </c>
      <c r="B54" t="s">
        <v>265</v>
      </c>
      <c r="C54" t="s">
        <v>169</v>
      </c>
      <c r="D54" t="s">
        <v>215</v>
      </c>
      <c r="E54" t="s">
        <v>162</v>
      </c>
      <c r="F54" t="s">
        <v>135</v>
      </c>
      <c r="G54" t="s">
        <v>266</v>
      </c>
      <c r="H54" t="s">
        <v>137</v>
      </c>
      <c r="I54">
        <v>0.89949999999999997</v>
      </c>
      <c r="K54" s="17">
        <v>45389</v>
      </c>
      <c r="L54" s="17">
        <v>47335</v>
      </c>
      <c r="M54" t="s">
        <v>138</v>
      </c>
      <c r="N54" t="s">
        <v>139</v>
      </c>
      <c r="O54" s="18">
        <v>801087.51</v>
      </c>
      <c r="P54" s="18">
        <v>0</v>
      </c>
      <c r="Q54" s="18">
        <v>0</v>
      </c>
      <c r="R54" s="18">
        <v>0</v>
      </c>
      <c r="S54" s="18">
        <v>6341.09</v>
      </c>
      <c r="T54" s="18">
        <v>807428.6</v>
      </c>
      <c r="U54" s="18">
        <v>0</v>
      </c>
      <c r="V54" s="18">
        <v>0</v>
      </c>
      <c r="W54" s="18">
        <v>0</v>
      </c>
      <c r="X54" s="18">
        <v>0</v>
      </c>
      <c r="Y54" s="18">
        <v>807428.6</v>
      </c>
      <c r="Z54">
        <v>7.9159999999999994E-3</v>
      </c>
      <c r="AA54">
        <v>0.89949999999999997</v>
      </c>
      <c r="AD54">
        <v>8.8000000000000005E-3</v>
      </c>
      <c r="AG54">
        <v>4.4999999999999997E-3</v>
      </c>
      <c r="AH54">
        <v>18</v>
      </c>
      <c r="AI54">
        <v>1619</v>
      </c>
      <c r="AJ54" t="s">
        <v>140</v>
      </c>
      <c r="AK54" t="s">
        <v>141</v>
      </c>
      <c r="AL54">
        <v>0</v>
      </c>
      <c r="AM54" t="s">
        <v>142</v>
      </c>
      <c r="AN54" t="s">
        <v>142</v>
      </c>
      <c r="AO54" t="s">
        <v>157</v>
      </c>
      <c r="AP54" t="s">
        <v>162</v>
      </c>
      <c r="AQ54" t="s">
        <v>144</v>
      </c>
      <c r="AR54" t="s">
        <v>267</v>
      </c>
      <c r="AS54" t="s">
        <v>138</v>
      </c>
      <c r="AT54">
        <v>0</v>
      </c>
      <c r="AU54" t="s">
        <v>146</v>
      </c>
      <c r="AW54" t="s">
        <v>147</v>
      </c>
      <c r="AX54" s="17">
        <v>45716</v>
      </c>
      <c r="AY54" t="s">
        <v>148</v>
      </c>
      <c r="AZ54" t="s">
        <v>304</v>
      </c>
      <c r="BA54" s="18">
        <f t="shared" si="2"/>
        <v>0</v>
      </c>
      <c r="BB54" s="18">
        <f t="shared" si="3"/>
        <v>804258.05499999993</v>
      </c>
    </row>
    <row r="55" spans="1:54" x14ac:dyDescent="0.25">
      <c r="A55" s="17">
        <v>45716</v>
      </c>
      <c r="B55" t="s">
        <v>269</v>
      </c>
      <c r="C55" t="s">
        <v>151</v>
      </c>
      <c r="D55" t="s">
        <v>133</v>
      </c>
      <c r="E55" t="s">
        <v>178</v>
      </c>
      <c r="F55" t="s">
        <v>135</v>
      </c>
      <c r="G55" t="s">
        <v>179</v>
      </c>
      <c r="H55" t="s">
        <v>137</v>
      </c>
      <c r="I55">
        <v>0.94479999999999997</v>
      </c>
      <c r="K55" s="17">
        <v>45539</v>
      </c>
      <c r="L55" s="17">
        <v>45979</v>
      </c>
      <c r="M55" t="s">
        <v>138</v>
      </c>
      <c r="N55" t="s">
        <v>155</v>
      </c>
      <c r="O55" s="18">
        <v>1754535.37</v>
      </c>
      <c r="P55" s="18">
        <v>0</v>
      </c>
      <c r="Q55" s="18">
        <v>0</v>
      </c>
      <c r="R55" s="18">
        <v>0</v>
      </c>
      <c r="S55" s="18">
        <v>14587.63</v>
      </c>
      <c r="T55" s="18">
        <v>1769123</v>
      </c>
      <c r="U55" s="18">
        <v>0</v>
      </c>
      <c r="V55" s="18">
        <v>0</v>
      </c>
      <c r="W55" s="18">
        <v>0</v>
      </c>
      <c r="X55" s="18">
        <v>0</v>
      </c>
      <c r="Y55" s="18">
        <v>1769123</v>
      </c>
      <c r="Z55">
        <v>8.3140000000000002E-3</v>
      </c>
      <c r="AA55">
        <v>0.94479999999999997</v>
      </c>
      <c r="AD55">
        <v>8.8000000000000005E-3</v>
      </c>
      <c r="AG55">
        <v>4.4999999999999997E-3</v>
      </c>
      <c r="AH55">
        <v>18</v>
      </c>
      <c r="AI55">
        <v>263</v>
      </c>
      <c r="AJ55" t="s">
        <v>173</v>
      </c>
      <c r="AK55" t="s">
        <v>141</v>
      </c>
      <c r="AL55">
        <v>0</v>
      </c>
      <c r="AM55" t="s">
        <v>142</v>
      </c>
      <c r="AN55" t="s">
        <v>142</v>
      </c>
      <c r="AO55" t="s">
        <v>143</v>
      </c>
      <c r="AP55" t="s">
        <v>178</v>
      </c>
      <c r="AQ55" t="s">
        <v>144</v>
      </c>
      <c r="AR55" t="s">
        <v>270</v>
      </c>
      <c r="AS55" t="s">
        <v>138</v>
      </c>
      <c r="AT55">
        <v>0</v>
      </c>
      <c r="AU55" t="s">
        <v>146</v>
      </c>
      <c r="AW55" t="s">
        <v>147</v>
      </c>
      <c r="AX55" s="17">
        <v>45716</v>
      </c>
      <c r="AY55" t="s">
        <v>148</v>
      </c>
      <c r="AZ55" t="s">
        <v>305</v>
      </c>
      <c r="BA55" s="18">
        <f t="shared" si="2"/>
        <v>0</v>
      </c>
      <c r="BB55" s="18">
        <f t="shared" si="3"/>
        <v>1761829.1850000001</v>
      </c>
    </row>
    <row r="56" spans="1:54" x14ac:dyDescent="0.25">
      <c r="A56" s="17">
        <v>45716</v>
      </c>
      <c r="B56" t="s">
        <v>272</v>
      </c>
      <c r="C56" t="s">
        <v>151</v>
      </c>
      <c r="D56" t="s">
        <v>161</v>
      </c>
      <c r="E56" t="s">
        <v>178</v>
      </c>
      <c r="F56" t="s">
        <v>242</v>
      </c>
      <c r="G56" t="s">
        <v>273</v>
      </c>
      <c r="H56" t="s">
        <v>137</v>
      </c>
      <c r="I56">
        <v>0.87019999999999997</v>
      </c>
      <c r="K56" s="17">
        <v>45520</v>
      </c>
      <c r="L56" s="17">
        <v>46205</v>
      </c>
      <c r="M56" t="s">
        <v>138</v>
      </c>
      <c r="N56" t="s">
        <v>139</v>
      </c>
      <c r="O56" s="18">
        <v>1014854.22</v>
      </c>
      <c r="P56" s="18">
        <v>0</v>
      </c>
      <c r="Q56" s="18">
        <v>0</v>
      </c>
      <c r="R56" s="18">
        <v>0</v>
      </c>
      <c r="S56" s="18">
        <v>7771.51</v>
      </c>
      <c r="T56" s="18">
        <v>1022625.73</v>
      </c>
      <c r="U56" s="18">
        <v>0</v>
      </c>
      <c r="V56" s="18">
        <v>0</v>
      </c>
      <c r="W56" s="18">
        <v>0</v>
      </c>
      <c r="X56" s="18">
        <v>0</v>
      </c>
      <c r="Y56" s="18">
        <v>1022625.73</v>
      </c>
      <c r="Z56">
        <v>7.6579999999999999E-3</v>
      </c>
      <c r="AA56">
        <v>0.87019999999999997</v>
      </c>
      <c r="AD56">
        <v>8.8000000000000005E-3</v>
      </c>
      <c r="AG56">
        <v>4.4999999999999997E-3</v>
      </c>
      <c r="AH56">
        <v>18</v>
      </c>
      <c r="AI56">
        <v>489</v>
      </c>
      <c r="AJ56" t="s">
        <v>140</v>
      </c>
      <c r="AK56" t="s">
        <v>141</v>
      </c>
      <c r="AL56">
        <v>0</v>
      </c>
      <c r="AM56" t="s">
        <v>142</v>
      </c>
      <c r="AN56" t="s">
        <v>142</v>
      </c>
      <c r="AO56" t="s">
        <v>157</v>
      </c>
      <c r="AP56" t="s">
        <v>178</v>
      </c>
      <c r="AQ56" t="s">
        <v>144</v>
      </c>
      <c r="AR56" t="s">
        <v>274</v>
      </c>
      <c r="AS56" t="s">
        <v>138</v>
      </c>
      <c r="AT56">
        <v>0</v>
      </c>
      <c r="AU56" t="s">
        <v>146</v>
      </c>
      <c r="AW56" t="s">
        <v>147</v>
      </c>
      <c r="AX56" s="17">
        <v>45716</v>
      </c>
      <c r="AY56" t="s">
        <v>148</v>
      </c>
      <c r="AZ56" t="s">
        <v>306</v>
      </c>
      <c r="BA56" s="18">
        <f t="shared" si="2"/>
        <v>0</v>
      </c>
      <c r="BB56" s="18">
        <f t="shared" si="3"/>
        <v>1018739.975</v>
      </c>
    </row>
    <row r="57" spans="1:54" x14ac:dyDescent="0.25">
      <c r="A57" s="17">
        <v>45716</v>
      </c>
      <c r="B57" t="s">
        <v>276</v>
      </c>
      <c r="C57" t="s">
        <v>132</v>
      </c>
      <c r="D57" t="s">
        <v>152</v>
      </c>
      <c r="E57" t="s">
        <v>183</v>
      </c>
      <c r="F57" t="s">
        <v>216</v>
      </c>
      <c r="G57" t="s">
        <v>277</v>
      </c>
      <c r="H57" t="s">
        <v>137</v>
      </c>
      <c r="I57">
        <v>0.86619999999999997</v>
      </c>
      <c r="K57" s="17">
        <v>45496</v>
      </c>
      <c r="L57" s="17"/>
      <c r="M57" t="s">
        <v>186</v>
      </c>
      <c r="N57" t="s">
        <v>155</v>
      </c>
      <c r="O57" s="18">
        <v>872440.62</v>
      </c>
      <c r="P57" s="18">
        <v>0</v>
      </c>
      <c r="Q57" s="18">
        <v>0</v>
      </c>
      <c r="R57" s="18">
        <v>0</v>
      </c>
      <c r="S57" s="18">
        <v>6650.23</v>
      </c>
      <c r="T57" s="18">
        <v>879090.85</v>
      </c>
      <c r="U57" s="18">
        <v>0</v>
      </c>
      <c r="V57" s="18">
        <v>0</v>
      </c>
      <c r="W57" s="18">
        <v>997.53</v>
      </c>
      <c r="X57" s="18">
        <v>0</v>
      </c>
      <c r="Y57" s="18">
        <v>878093.32</v>
      </c>
      <c r="Z57">
        <v>7.6229999999999996E-3</v>
      </c>
      <c r="AA57">
        <v>0.86619999999999997</v>
      </c>
      <c r="AD57">
        <v>8.8000000000000005E-3</v>
      </c>
      <c r="AG57">
        <v>4.4999999999999997E-3</v>
      </c>
      <c r="AH57">
        <v>18</v>
      </c>
      <c r="AJ57" t="s">
        <v>187</v>
      </c>
      <c r="AK57" t="s">
        <v>141</v>
      </c>
      <c r="AL57">
        <v>0.15</v>
      </c>
      <c r="AM57" t="s">
        <v>141</v>
      </c>
      <c r="AN57" t="s">
        <v>141</v>
      </c>
      <c r="AO57" t="s">
        <v>157</v>
      </c>
      <c r="AP57" t="s">
        <v>183</v>
      </c>
      <c r="AQ57" t="s">
        <v>144</v>
      </c>
      <c r="AR57" t="s">
        <v>278</v>
      </c>
      <c r="AS57" t="s">
        <v>189</v>
      </c>
      <c r="AT57">
        <v>0</v>
      </c>
      <c r="AU57" t="s">
        <v>146</v>
      </c>
      <c r="AW57" t="s">
        <v>147</v>
      </c>
      <c r="AX57" s="17">
        <v>45716</v>
      </c>
      <c r="AY57" t="s">
        <v>148</v>
      </c>
      <c r="AZ57" t="s">
        <v>307</v>
      </c>
      <c r="BA57" s="18">
        <f t="shared" si="2"/>
        <v>0</v>
      </c>
      <c r="BB57" s="18">
        <f t="shared" si="3"/>
        <v>875765.73499999999</v>
      </c>
    </row>
    <row r="58" spans="1:54" x14ac:dyDescent="0.25">
      <c r="A58" s="17">
        <v>45747</v>
      </c>
      <c r="B58" t="s">
        <v>131</v>
      </c>
      <c r="C58" t="s">
        <v>132</v>
      </c>
      <c r="D58" t="s">
        <v>133</v>
      </c>
      <c r="E58" t="s">
        <v>134</v>
      </c>
      <c r="F58" t="s">
        <v>135</v>
      </c>
      <c r="G58" t="s">
        <v>136</v>
      </c>
      <c r="H58" t="s">
        <v>137</v>
      </c>
      <c r="I58">
        <v>0.9274</v>
      </c>
      <c r="K58" s="17">
        <v>45635</v>
      </c>
      <c r="L58" s="17">
        <v>46117</v>
      </c>
      <c r="M58" t="s">
        <v>138</v>
      </c>
      <c r="N58" t="s">
        <v>139</v>
      </c>
      <c r="O58" s="18">
        <v>2273946.08</v>
      </c>
      <c r="P58" s="18">
        <v>0</v>
      </c>
      <c r="Q58" s="18">
        <v>0</v>
      </c>
      <c r="R58" s="18">
        <v>0</v>
      </c>
      <c r="S58" s="18">
        <v>20455.919999999998</v>
      </c>
      <c r="T58" s="18">
        <v>2294402</v>
      </c>
      <c r="U58" s="18">
        <v>0</v>
      </c>
      <c r="V58" s="18">
        <v>0</v>
      </c>
      <c r="W58" s="18">
        <v>0</v>
      </c>
      <c r="X58" s="18">
        <v>0</v>
      </c>
      <c r="Y58" s="18">
        <v>2294402</v>
      </c>
      <c r="Z58">
        <v>8.9960000000000005E-3</v>
      </c>
      <c r="AA58">
        <v>0.9274</v>
      </c>
      <c r="AD58">
        <v>9.7000000000000003E-3</v>
      </c>
      <c r="AG58">
        <v>-1E-3</v>
      </c>
      <c r="AH58">
        <v>21</v>
      </c>
      <c r="AI58">
        <v>370</v>
      </c>
      <c r="AJ58" t="s">
        <v>140</v>
      </c>
      <c r="AK58" t="s">
        <v>141</v>
      </c>
      <c r="AL58">
        <v>0</v>
      </c>
      <c r="AM58" t="s">
        <v>142</v>
      </c>
      <c r="AN58" t="s">
        <v>142</v>
      </c>
      <c r="AO58" t="s">
        <v>157</v>
      </c>
      <c r="AP58" t="s">
        <v>134</v>
      </c>
      <c r="AQ58" t="s">
        <v>144</v>
      </c>
      <c r="AR58" t="s">
        <v>145</v>
      </c>
      <c r="AS58" t="s">
        <v>138</v>
      </c>
      <c r="AT58">
        <v>0</v>
      </c>
      <c r="AU58" t="s">
        <v>146</v>
      </c>
      <c r="AW58" t="s">
        <v>147</v>
      </c>
      <c r="AX58" s="17">
        <v>45747</v>
      </c>
      <c r="AY58" t="s">
        <v>148</v>
      </c>
      <c r="AZ58" t="s">
        <v>308</v>
      </c>
      <c r="BA58" s="18">
        <f t="shared" si="2"/>
        <v>0</v>
      </c>
      <c r="BB58" s="18">
        <f t="shared" si="3"/>
        <v>2284174.04</v>
      </c>
    </row>
    <row r="59" spans="1:54" x14ac:dyDescent="0.25">
      <c r="A59" s="17">
        <v>45747</v>
      </c>
      <c r="B59" t="s">
        <v>150</v>
      </c>
      <c r="C59" t="s">
        <v>151</v>
      </c>
      <c r="D59" t="s">
        <v>152</v>
      </c>
      <c r="E59" t="s">
        <v>153</v>
      </c>
      <c r="F59" t="s">
        <v>135</v>
      </c>
      <c r="G59" t="s">
        <v>154</v>
      </c>
      <c r="H59" t="s">
        <v>137</v>
      </c>
      <c r="I59">
        <v>0.92210000000000003</v>
      </c>
      <c r="K59" s="17">
        <v>45475</v>
      </c>
      <c r="L59" s="17">
        <v>45695</v>
      </c>
      <c r="M59" t="s">
        <v>138</v>
      </c>
      <c r="N59" t="s">
        <v>155</v>
      </c>
      <c r="O59" s="18">
        <v>1389252.63</v>
      </c>
      <c r="P59" s="18">
        <v>0</v>
      </c>
      <c r="Q59" s="18">
        <v>0</v>
      </c>
      <c r="R59" s="18">
        <v>0</v>
      </c>
      <c r="S59" s="18">
        <v>12425.99</v>
      </c>
      <c r="T59" s="18">
        <v>1401678.62</v>
      </c>
      <c r="U59" s="18">
        <v>0</v>
      </c>
      <c r="V59" s="18">
        <v>0</v>
      </c>
      <c r="W59" s="18">
        <v>0</v>
      </c>
      <c r="X59" s="18">
        <v>0</v>
      </c>
      <c r="Y59" s="18">
        <v>1401678.62</v>
      </c>
      <c r="Z59">
        <v>8.9440000000000006E-3</v>
      </c>
      <c r="AA59">
        <v>0.92210000000000003</v>
      </c>
      <c r="AD59">
        <v>9.7000000000000003E-3</v>
      </c>
      <c r="AG59">
        <v>-1E-3</v>
      </c>
      <c r="AH59">
        <v>21</v>
      </c>
      <c r="AI59">
        <v>-52</v>
      </c>
      <c r="AJ59" t="s">
        <v>156</v>
      </c>
      <c r="AK59" t="s">
        <v>141</v>
      </c>
      <c r="AL59">
        <v>0</v>
      </c>
      <c r="AM59" t="s">
        <v>142</v>
      </c>
      <c r="AN59" t="s">
        <v>142</v>
      </c>
      <c r="AO59" t="s">
        <v>197</v>
      </c>
      <c r="AP59" t="s">
        <v>153</v>
      </c>
      <c r="AQ59" t="s">
        <v>144</v>
      </c>
      <c r="AR59" t="s">
        <v>158</v>
      </c>
      <c r="AS59" t="s">
        <v>138</v>
      </c>
      <c r="AT59">
        <v>0</v>
      </c>
      <c r="AU59" t="s">
        <v>146</v>
      </c>
      <c r="AW59" t="s">
        <v>147</v>
      </c>
      <c r="AX59" s="17">
        <v>45747</v>
      </c>
      <c r="AY59" t="s">
        <v>148</v>
      </c>
      <c r="AZ59" t="s">
        <v>309</v>
      </c>
      <c r="BA59" s="18">
        <f t="shared" si="2"/>
        <v>0</v>
      </c>
      <c r="BB59" s="18">
        <f t="shared" si="3"/>
        <v>1395465.625</v>
      </c>
    </row>
    <row r="60" spans="1:54" x14ac:dyDescent="0.25">
      <c r="A60" s="17">
        <v>45747</v>
      </c>
      <c r="B60" t="s">
        <v>160</v>
      </c>
      <c r="C60" t="s">
        <v>151</v>
      </c>
      <c r="D60" t="s">
        <v>161</v>
      </c>
      <c r="E60" t="s">
        <v>162</v>
      </c>
      <c r="F60" t="s">
        <v>163</v>
      </c>
      <c r="G60" t="s">
        <v>164</v>
      </c>
      <c r="H60" t="s">
        <v>165</v>
      </c>
      <c r="J60">
        <v>4.7999999999999996E-3</v>
      </c>
      <c r="K60" s="17">
        <v>45523</v>
      </c>
      <c r="L60" s="17">
        <v>46412</v>
      </c>
      <c r="M60" t="s">
        <v>138</v>
      </c>
      <c r="N60" t="s">
        <v>139</v>
      </c>
      <c r="O60" s="18">
        <v>231085.06</v>
      </c>
      <c r="P60" s="18">
        <v>0</v>
      </c>
      <c r="Q60" s="18">
        <v>231085.06</v>
      </c>
      <c r="R60" s="18">
        <v>0</v>
      </c>
      <c r="S60" s="18">
        <v>439.06</v>
      </c>
      <c r="T60" s="18">
        <v>439.06</v>
      </c>
      <c r="U60" s="18">
        <v>0</v>
      </c>
      <c r="V60" s="18">
        <v>0</v>
      </c>
      <c r="W60" s="18">
        <v>65.86</v>
      </c>
      <c r="X60" s="18">
        <v>0</v>
      </c>
      <c r="Y60" s="18">
        <v>373.2</v>
      </c>
      <c r="Z60">
        <v>1.9E-3</v>
      </c>
      <c r="AA60">
        <v>0.19589999999999999</v>
      </c>
      <c r="AD60">
        <v>9.7000000000000003E-3</v>
      </c>
      <c r="AG60">
        <v>-1E-3</v>
      </c>
      <c r="AH60">
        <v>21</v>
      </c>
      <c r="AI60">
        <v>665</v>
      </c>
      <c r="AJ60" t="s">
        <v>140</v>
      </c>
      <c r="AK60" t="s">
        <v>141</v>
      </c>
      <c r="AL60">
        <v>0.15</v>
      </c>
      <c r="AM60" t="s">
        <v>141</v>
      </c>
      <c r="AN60" t="s">
        <v>141</v>
      </c>
      <c r="AO60" t="s">
        <v>197</v>
      </c>
      <c r="AP60" t="s">
        <v>162</v>
      </c>
      <c r="AQ60" t="s">
        <v>144</v>
      </c>
      <c r="AR60" t="s">
        <v>166</v>
      </c>
      <c r="AS60" t="s">
        <v>138</v>
      </c>
      <c r="AT60">
        <v>0</v>
      </c>
      <c r="AU60" t="s">
        <v>146</v>
      </c>
      <c r="AW60" t="s">
        <v>147</v>
      </c>
      <c r="AX60" s="17">
        <v>45747</v>
      </c>
      <c r="AY60" t="s">
        <v>148</v>
      </c>
      <c r="AZ60" t="s">
        <v>310</v>
      </c>
      <c r="BA60" s="18">
        <f t="shared" si="2"/>
        <v>0</v>
      </c>
      <c r="BB60" s="18">
        <f t="shared" si="3"/>
        <v>115762.06</v>
      </c>
    </row>
    <row r="61" spans="1:54" x14ac:dyDescent="0.25">
      <c r="A61" s="17">
        <v>45747</v>
      </c>
      <c r="B61" t="s">
        <v>168</v>
      </c>
      <c r="C61" t="s">
        <v>169</v>
      </c>
      <c r="D61" t="s">
        <v>170</v>
      </c>
      <c r="E61" t="s">
        <v>134</v>
      </c>
      <c r="F61" t="s">
        <v>171</v>
      </c>
      <c r="G61" t="s">
        <v>172</v>
      </c>
      <c r="H61" t="s">
        <v>137</v>
      </c>
      <c r="I61">
        <v>1.0061</v>
      </c>
      <c r="K61" s="17">
        <v>45335</v>
      </c>
      <c r="L61" s="17">
        <v>45836</v>
      </c>
      <c r="M61" t="s">
        <v>138</v>
      </c>
      <c r="N61" t="s">
        <v>155</v>
      </c>
      <c r="O61" s="18">
        <v>1871836.09</v>
      </c>
      <c r="P61" s="18">
        <v>0</v>
      </c>
      <c r="Q61" s="18">
        <v>0</v>
      </c>
      <c r="R61" s="18">
        <v>0</v>
      </c>
      <c r="S61" s="18">
        <v>18267.57</v>
      </c>
      <c r="T61" s="18">
        <v>1890103.66</v>
      </c>
      <c r="U61" s="18">
        <v>0</v>
      </c>
      <c r="V61" s="18">
        <v>0</v>
      </c>
      <c r="W61" s="18">
        <v>2740.14</v>
      </c>
      <c r="X61" s="18">
        <v>0</v>
      </c>
      <c r="Y61" s="18">
        <v>1887363.52</v>
      </c>
      <c r="Z61">
        <v>9.7590000000000003E-3</v>
      </c>
      <c r="AA61">
        <v>1.0061</v>
      </c>
      <c r="AD61">
        <v>9.7000000000000003E-3</v>
      </c>
      <c r="AG61">
        <v>-1E-3</v>
      </c>
      <c r="AH61">
        <v>21</v>
      </c>
      <c r="AI61">
        <v>89</v>
      </c>
      <c r="AJ61" t="s">
        <v>156</v>
      </c>
      <c r="AK61" t="s">
        <v>141</v>
      </c>
      <c r="AL61">
        <v>0.15</v>
      </c>
      <c r="AM61" t="s">
        <v>141</v>
      </c>
      <c r="AN61" t="s">
        <v>141</v>
      </c>
      <c r="AO61" t="s">
        <v>157</v>
      </c>
      <c r="AP61" t="s">
        <v>134</v>
      </c>
      <c r="AQ61" t="s">
        <v>144</v>
      </c>
      <c r="AR61" t="s">
        <v>174</v>
      </c>
      <c r="AS61" t="s">
        <v>138</v>
      </c>
      <c r="AT61">
        <v>0</v>
      </c>
      <c r="AU61" t="s">
        <v>146</v>
      </c>
      <c r="AW61" t="s">
        <v>147</v>
      </c>
      <c r="AX61" s="17">
        <v>45747</v>
      </c>
      <c r="AY61" t="s">
        <v>148</v>
      </c>
      <c r="AZ61" t="s">
        <v>311</v>
      </c>
      <c r="BA61" s="18">
        <f t="shared" si="2"/>
        <v>0</v>
      </c>
      <c r="BB61" s="18">
        <f t="shared" si="3"/>
        <v>1880969.875</v>
      </c>
    </row>
    <row r="62" spans="1:54" x14ac:dyDescent="0.25">
      <c r="A62" s="17">
        <v>45747</v>
      </c>
      <c r="B62" t="s">
        <v>176</v>
      </c>
      <c r="C62" t="s">
        <v>169</v>
      </c>
      <c r="D62" t="s">
        <v>177</v>
      </c>
      <c r="E62" t="s">
        <v>178</v>
      </c>
      <c r="F62" t="s">
        <v>135</v>
      </c>
      <c r="G62" t="s">
        <v>179</v>
      </c>
      <c r="H62" t="s">
        <v>137</v>
      </c>
      <c r="I62">
        <v>0.92930000000000001</v>
      </c>
      <c r="K62" s="17">
        <v>45340</v>
      </c>
      <c r="L62" s="17">
        <v>46711</v>
      </c>
      <c r="M62" t="s">
        <v>138</v>
      </c>
      <c r="N62" t="s">
        <v>139</v>
      </c>
      <c r="O62" s="18">
        <v>128075.32</v>
      </c>
      <c r="P62" s="18">
        <v>0</v>
      </c>
      <c r="Q62" s="18">
        <v>0</v>
      </c>
      <c r="R62" s="18">
        <v>0</v>
      </c>
      <c r="S62" s="18">
        <v>1154.5</v>
      </c>
      <c r="T62" s="18">
        <v>129229.82</v>
      </c>
      <c r="U62" s="18">
        <v>0</v>
      </c>
      <c r="V62" s="18">
        <v>0</v>
      </c>
      <c r="W62" s="18">
        <v>0</v>
      </c>
      <c r="X62" s="18">
        <v>0</v>
      </c>
      <c r="Y62" s="18">
        <v>129229.82</v>
      </c>
      <c r="Z62">
        <v>9.0139999999999994E-3</v>
      </c>
      <c r="AA62">
        <v>0.92930000000000001</v>
      </c>
      <c r="AD62">
        <v>9.7000000000000003E-3</v>
      </c>
      <c r="AG62">
        <v>-1E-3</v>
      </c>
      <c r="AH62">
        <v>21</v>
      </c>
      <c r="AI62">
        <v>964</v>
      </c>
      <c r="AJ62" t="s">
        <v>140</v>
      </c>
      <c r="AK62" t="s">
        <v>141</v>
      </c>
      <c r="AL62">
        <v>0</v>
      </c>
      <c r="AM62" t="s">
        <v>142</v>
      </c>
      <c r="AN62" t="s">
        <v>142</v>
      </c>
      <c r="AO62" t="s">
        <v>143</v>
      </c>
      <c r="AP62" t="s">
        <v>178</v>
      </c>
      <c r="AQ62" t="s">
        <v>144</v>
      </c>
      <c r="AR62" t="s">
        <v>180</v>
      </c>
      <c r="AS62" t="s">
        <v>138</v>
      </c>
      <c r="AT62">
        <v>0</v>
      </c>
      <c r="AU62" t="s">
        <v>146</v>
      </c>
      <c r="AW62" t="s">
        <v>147</v>
      </c>
      <c r="AX62" s="17">
        <v>45747</v>
      </c>
      <c r="AY62" t="s">
        <v>148</v>
      </c>
      <c r="AZ62" t="s">
        <v>312</v>
      </c>
      <c r="BA62" s="18">
        <f t="shared" si="2"/>
        <v>0</v>
      </c>
      <c r="BB62" s="18">
        <f t="shared" si="3"/>
        <v>128652.57</v>
      </c>
    </row>
    <row r="63" spans="1:54" x14ac:dyDescent="0.25">
      <c r="A63" s="17">
        <v>45747</v>
      </c>
      <c r="B63" t="s">
        <v>182</v>
      </c>
      <c r="C63" t="s">
        <v>151</v>
      </c>
      <c r="D63" t="s">
        <v>133</v>
      </c>
      <c r="E63" t="s">
        <v>183</v>
      </c>
      <c r="F63" t="s">
        <v>184</v>
      </c>
      <c r="G63" t="s">
        <v>185</v>
      </c>
      <c r="H63" t="s">
        <v>137</v>
      </c>
      <c r="I63">
        <v>0.95899999999999996</v>
      </c>
      <c r="K63" s="17">
        <v>45350</v>
      </c>
      <c r="L63" s="17"/>
      <c r="M63" t="s">
        <v>186</v>
      </c>
      <c r="N63" t="s">
        <v>155</v>
      </c>
      <c r="O63" s="18">
        <v>1178236.48</v>
      </c>
      <c r="P63" s="18">
        <v>0</v>
      </c>
      <c r="Q63" s="18">
        <v>0</v>
      </c>
      <c r="R63" s="18">
        <v>0</v>
      </c>
      <c r="S63" s="18">
        <v>10960.31</v>
      </c>
      <c r="T63" s="18">
        <v>1187552.74</v>
      </c>
      <c r="U63" s="18">
        <v>1644.05</v>
      </c>
      <c r="V63" s="18">
        <v>0</v>
      </c>
      <c r="W63" s="18">
        <v>0</v>
      </c>
      <c r="X63" s="18">
        <v>0</v>
      </c>
      <c r="Y63" s="18">
        <v>1187552.74</v>
      </c>
      <c r="Z63">
        <v>9.3019999999999995E-3</v>
      </c>
      <c r="AA63">
        <v>0.95899999999999996</v>
      </c>
      <c r="AD63">
        <v>9.7000000000000003E-3</v>
      </c>
      <c r="AG63">
        <v>-1E-3</v>
      </c>
      <c r="AH63">
        <v>21</v>
      </c>
      <c r="AJ63" t="s">
        <v>187</v>
      </c>
      <c r="AK63" t="s">
        <v>142</v>
      </c>
      <c r="AL63">
        <v>0.15</v>
      </c>
      <c r="AM63" t="s">
        <v>141</v>
      </c>
      <c r="AN63" t="s">
        <v>141</v>
      </c>
      <c r="AO63" t="s">
        <v>157</v>
      </c>
      <c r="AP63" t="s">
        <v>183</v>
      </c>
      <c r="AQ63" t="s">
        <v>144</v>
      </c>
      <c r="AR63" t="s">
        <v>188</v>
      </c>
      <c r="AS63" t="s">
        <v>189</v>
      </c>
      <c r="AT63">
        <v>0</v>
      </c>
      <c r="AU63" t="s">
        <v>146</v>
      </c>
      <c r="AW63" t="s">
        <v>147</v>
      </c>
      <c r="AX63" s="17">
        <v>45747</v>
      </c>
      <c r="AY63" t="s">
        <v>148</v>
      </c>
      <c r="AZ63" t="s">
        <v>313</v>
      </c>
      <c r="BA63" s="18">
        <f t="shared" si="2"/>
        <v>0</v>
      </c>
      <c r="BB63" s="18">
        <f t="shared" si="3"/>
        <v>1182894.6099999999</v>
      </c>
    </row>
    <row r="64" spans="1:54" x14ac:dyDescent="0.25">
      <c r="A64" s="17">
        <v>45747</v>
      </c>
      <c r="B64" t="s">
        <v>191</v>
      </c>
      <c r="C64" t="s">
        <v>132</v>
      </c>
      <c r="D64" t="s">
        <v>133</v>
      </c>
      <c r="E64" t="s">
        <v>162</v>
      </c>
      <c r="F64" t="s">
        <v>171</v>
      </c>
      <c r="G64" t="s">
        <v>192</v>
      </c>
      <c r="H64" t="s">
        <v>137</v>
      </c>
      <c r="I64">
        <v>1.0022</v>
      </c>
      <c r="K64" s="17">
        <v>45455</v>
      </c>
      <c r="L64" s="17">
        <v>46335</v>
      </c>
      <c r="M64" t="s">
        <v>138</v>
      </c>
      <c r="N64" t="s">
        <v>139</v>
      </c>
      <c r="O64" s="18">
        <v>477935.99</v>
      </c>
      <c r="P64" s="18">
        <v>0</v>
      </c>
      <c r="Q64" s="18">
        <v>0</v>
      </c>
      <c r="R64" s="18">
        <v>0</v>
      </c>
      <c r="S64" s="18">
        <v>4646.18</v>
      </c>
      <c r="T64" s="18">
        <v>482582.17</v>
      </c>
      <c r="U64" s="18">
        <v>0</v>
      </c>
      <c r="V64" s="18">
        <v>0</v>
      </c>
      <c r="W64" s="18">
        <v>696.93</v>
      </c>
      <c r="X64" s="18">
        <v>0</v>
      </c>
      <c r="Y64" s="18">
        <v>481885.24</v>
      </c>
      <c r="Z64">
        <v>9.7210000000000005E-3</v>
      </c>
      <c r="AA64">
        <v>1.0022</v>
      </c>
      <c r="AD64">
        <v>9.7000000000000003E-3</v>
      </c>
      <c r="AG64">
        <v>-1E-3</v>
      </c>
      <c r="AH64">
        <v>21</v>
      </c>
      <c r="AI64">
        <v>588</v>
      </c>
      <c r="AJ64" t="s">
        <v>140</v>
      </c>
      <c r="AK64" t="s">
        <v>141</v>
      </c>
      <c r="AL64">
        <v>0.15</v>
      </c>
      <c r="AM64" t="s">
        <v>141</v>
      </c>
      <c r="AN64" t="s">
        <v>141</v>
      </c>
      <c r="AO64" t="s">
        <v>197</v>
      </c>
      <c r="AP64" t="s">
        <v>162</v>
      </c>
      <c r="AQ64" t="s">
        <v>144</v>
      </c>
      <c r="AR64" t="s">
        <v>193</v>
      </c>
      <c r="AS64" t="s">
        <v>138</v>
      </c>
      <c r="AT64">
        <v>0</v>
      </c>
      <c r="AU64" t="s">
        <v>146</v>
      </c>
      <c r="AW64" t="s">
        <v>147</v>
      </c>
      <c r="AX64" s="17">
        <v>45747</v>
      </c>
      <c r="AY64" t="s">
        <v>148</v>
      </c>
      <c r="AZ64" t="s">
        <v>314</v>
      </c>
      <c r="BA64" s="18">
        <f t="shared" si="2"/>
        <v>0</v>
      </c>
      <c r="BB64" s="18">
        <f t="shared" si="3"/>
        <v>480259.07999999996</v>
      </c>
    </row>
    <row r="65" spans="1:54" x14ac:dyDescent="0.25">
      <c r="A65" s="17">
        <v>45747</v>
      </c>
      <c r="B65" t="s">
        <v>195</v>
      </c>
      <c r="C65" t="s">
        <v>169</v>
      </c>
      <c r="D65" t="s">
        <v>152</v>
      </c>
      <c r="E65" t="s">
        <v>162</v>
      </c>
      <c r="F65" t="s">
        <v>184</v>
      </c>
      <c r="G65" t="s">
        <v>196</v>
      </c>
      <c r="H65" t="s">
        <v>137</v>
      </c>
      <c r="I65">
        <v>0.95099999999999996</v>
      </c>
      <c r="K65" s="17">
        <v>45517</v>
      </c>
      <c r="L65" s="17"/>
      <c r="M65" t="s">
        <v>186</v>
      </c>
      <c r="N65" t="s">
        <v>155</v>
      </c>
      <c r="O65" s="18">
        <v>1059872.57</v>
      </c>
      <c r="P65" s="18">
        <v>0</v>
      </c>
      <c r="Q65" s="18">
        <v>0</v>
      </c>
      <c r="R65" s="18">
        <v>0</v>
      </c>
      <c r="S65" s="18">
        <v>9777.01</v>
      </c>
      <c r="T65" s="18">
        <v>1068183.03</v>
      </c>
      <c r="U65" s="18">
        <v>1466.55</v>
      </c>
      <c r="V65" s="18">
        <v>0</v>
      </c>
      <c r="W65" s="18">
        <v>0</v>
      </c>
      <c r="X65" s="18">
        <v>0</v>
      </c>
      <c r="Y65" s="18">
        <v>1068183.03</v>
      </c>
      <c r="Z65">
        <v>9.2250000000000006E-3</v>
      </c>
      <c r="AA65">
        <v>0.95099999999999996</v>
      </c>
      <c r="AD65">
        <v>9.7000000000000003E-3</v>
      </c>
      <c r="AG65">
        <v>-1E-3</v>
      </c>
      <c r="AH65">
        <v>21</v>
      </c>
      <c r="AJ65" t="s">
        <v>187</v>
      </c>
      <c r="AK65" t="s">
        <v>142</v>
      </c>
      <c r="AL65">
        <v>0.15</v>
      </c>
      <c r="AM65" t="s">
        <v>141</v>
      </c>
      <c r="AN65" t="s">
        <v>141</v>
      </c>
      <c r="AO65" t="s">
        <v>197</v>
      </c>
      <c r="AP65" t="s">
        <v>162</v>
      </c>
      <c r="AQ65" t="s">
        <v>144</v>
      </c>
      <c r="AR65" t="s">
        <v>198</v>
      </c>
      <c r="AS65" t="s">
        <v>189</v>
      </c>
      <c r="AT65">
        <v>0</v>
      </c>
      <c r="AU65" t="s">
        <v>146</v>
      </c>
      <c r="AW65" t="s">
        <v>147</v>
      </c>
      <c r="AX65" s="17">
        <v>45747</v>
      </c>
      <c r="AY65" t="s">
        <v>148</v>
      </c>
      <c r="AZ65" t="s">
        <v>315</v>
      </c>
      <c r="BA65" s="18">
        <f t="shared" si="2"/>
        <v>0</v>
      </c>
      <c r="BB65" s="18">
        <f t="shared" si="3"/>
        <v>1064027.8</v>
      </c>
    </row>
    <row r="66" spans="1:54" x14ac:dyDescent="0.25">
      <c r="A66" s="17">
        <v>45747</v>
      </c>
      <c r="B66" t="s">
        <v>200</v>
      </c>
      <c r="C66" t="s">
        <v>151</v>
      </c>
      <c r="D66" t="s">
        <v>177</v>
      </c>
      <c r="E66" t="s">
        <v>162</v>
      </c>
      <c r="F66" t="s">
        <v>201</v>
      </c>
      <c r="G66" t="s">
        <v>202</v>
      </c>
      <c r="H66" t="s">
        <v>137</v>
      </c>
      <c r="I66">
        <v>1.0439000000000001</v>
      </c>
      <c r="K66" s="17">
        <v>45317</v>
      </c>
      <c r="L66" s="17">
        <v>46577</v>
      </c>
      <c r="M66" t="s">
        <v>138</v>
      </c>
      <c r="N66" t="s">
        <v>139</v>
      </c>
      <c r="O66" s="18">
        <v>1168597.82</v>
      </c>
      <c r="P66" s="18">
        <v>0</v>
      </c>
      <c r="Q66" s="18">
        <v>0</v>
      </c>
      <c r="R66" s="18">
        <v>0</v>
      </c>
      <c r="S66" s="18">
        <v>11833.02</v>
      </c>
      <c r="T66" s="18">
        <v>1180430.8400000001</v>
      </c>
      <c r="U66" s="18">
        <v>0</v>
      </c>
      <c r="V66" s="18">
        <v>0</v>
      </c>
      <c r="W66" s="18">
        <v>1774.95</v>
      </c>
      <c r="X66" s="18">
        <v>0</v>
      </c>
      <c r="Y66" s="18">
        <v>1178655.8899999999</v>
      </c>
      <c r="Z66">
        <v>1.0126E-2</v>
      </c>
      <c r="AA66">
        <v>1.0439000000000001</v>
      </c>
      <c r="AD66">
        <v>9.7000000000000003E-3</v>
      </c>
      <c r="AG66">
        <v>-1E-3</v>
      </c>
      <c r="AH66">
        <v>21</v>
      </c>
      <c r="AI66">
        <v>830</v>
      </c>
      <c r="AJ66" t="s">
        <v>140</v>
      </c>
      <c r="AK66" t="s">
        <v>141</v>
      </c>
      <c r="AL66">
        <v>0.15</v>
      </c>
      <c r="AM66" t="s">
        <v>141</v>
      </c>
      <c r="AN66" t="s">
        <v>142</v>
      </c>
      <c r="AO66" t="s">
        <v>157</v>
      </c>
      <c r="AP66" t="s">
        <v>162</v>
      </c>
      <c r="AQ66" t="s">
        <v>144</v>
      </c>
      <c r="AR66" t="s">
        <v>203</v>
      </c>
      <c r="AS66" t="s">
        <v>138</v>
      </c>
      <c r="AT66">
        <v>0</v>
      </c>
      <c r="AU66" t="s">
        <v>146</v>
      </c>
      <c r="AW66" t="s">
        <v>147</v>
      </c>
      <c r="AX66" s="17">
        <v>45747</v>
      </c>
      <c r="AY66" t="s">
        <v>148</v>
      </c>
      <c r="AZ66" t="s">
        <v>316</v>
      </c>
      <c r="BA66" s="18">
        <f t="shared" ref="BA66:BA85" si="4">ROUND(T66-(O66+P66-Q66-R66+S66-IF(AK66="S",U66+V66,0)),2)</f>
        <v>0</v>
      </c>
      <c r="BB66" s="18">
        <f t="shared" ref="BB66:BB85" si="5">(O66+T66)/2</f>
        <v>1174514.33</v>
      </c>
    </row>
    <row r="67" spans="1:54" x14ac:dyDescent="0.25">
      <c r="A67" s="17">
        <v>45747</v>
      </c>
      <c r="B67" t="s">
        <v>205</v>
      </c>
      <c r="C67" t="s">
        <v>151</v>
      </c>
      <c r="D67" t="s">
        <v>170</v>
      </c>
      <c r="E67" t="s">
        <v>162</v>
      </c>
      <c r="F67" t="s">
        <v>171</v>
      </c>
      <c r="G67" t="s">
        <v>192</v>
      </c>
      <c r="H67" t="s">
        <v>137</v>
      </c>
      <c r="I67">
        <v>0.99280000000000002</v>
      </c>
      <c r="K67" s="17">
        <v>45612</v>
      </c>
      <c r="L67" s="17">
        <v>47072</v>
      </c>
      <c r="M67" t="s">
        <v>138</v>
      </c>
      <c r="N67" t="s">
        <v>139</v>
      </c>
      <c r="O67" s="18">
        <v>1909447.03</v>
      </c>
      <c r="P67" s="18">
        <v>0</v>
      </c>
      <c r="Q67" s="18">
        <v>211026.28</v>
      </c>
      <c r="R67" s="18">
        <v>0</v>
      </c>
      <c r="S67" s="18">
        <v>17372.169999999998</v>
      </c>
      <c r="T67" s="18">
        <v>1715792.92</v>
      </c>
      <c r="U67" s="18">
        <v>0</v>
      </c>
      <c r="V67" s="18">
        <v>0</v>
      </c>
      <c r="W67" s="18">
        <v>2605.83</v>
      </c>
      <c r="X67" s="18">
        <v>0</v>
      </c>
      <c r="Y67" s="18">
        <v>1713187.09</v>
      </c>
      <c r="Z67">
        <v>9.0980000000000002E-3</v>
      </c>
      <c r="AA67">
        <v>0.93789999999999996</v>
      </c>
      <c r="AD67">
        <v>9.7000000000000003E-3</v>
      </c>
      <c r="AG67">
        <v>-1E-3</v>
      </c>
      <c r="AH67">
        <v>21</v>
      </c>
      <c r="AI67">
        <v>1325</v>
      </c>
      <c r="AJ67" t="s">
        <v>140</v>
      </c>
      <c r="AK67" t="s">
        <v>141</v>
      </c>
      <c r="AL67">
        <v>0.15</v>
      </c>
      <c r="AM67" t="s">
        <v>141</v>
      </c>
      <c r="AN67" t="s">
        <v>141</v>
      </c>
      <c r="AO67" t="s">
        <v>157</v>
      </c>
      <c r="AP67" t="s">
        <v>162</v>
      </c>
      <c r="AQ67" t="s">
        <v>144</v>
      </c>
      <c r="AR67" t="s">
        <v>206</v>
      </c>
      <c r="AS67" t="s">
        <v>138</v>
      </c>
      <c r="AT67">
        <v>0</v>
      </c>
      <c r="AU67" t="s">
        <v>146</v>
      </c>
      <c r="AW67" t="s">
        <v>147</v>
      </c>
      <c r="AX67" s="17">
        <v>45747</v>
      </c>
      <c r="AY67" t="s">
        <v>148</v>
      </c>
      <c r="AZ67" t="s">
        <v>317</v>
      </c>
      <c r="BA67" s="18">
        <f t="shared" si="4"/>
        <v>0</v>
      </c>
      <c r="BB67" s="18">
        <f t="shared" si="5"/>
        <v>1812619.9750000001</v>
      </c>
    </row>
    <row r="68" spans="1:54" x14ac:dyDescent="0.25">
      <c r="A68" s="17">
        <v>45747</v>
      </c>
      <c r="B68" t="s">
        <v>208</v>
      </c>
      <c r="C68" t="s">
        <v>169</v>
      </c>
      <c r="D68" t="s">
        <v>209</v>
      </c>
      <c r="E68" t="s">
        <v>153</v>
      </c>
      <c r="F68" t="s">
        <v>210</v>
      </c>
      <c r="G68" t="s">
        <v>211</v>
      </c>
      <c r="H68" t="s">
        <v>137</v>
      </c>
      <c r="I68">
        <v>0.2329</v>
      </c>
      <c r="K68" s="17">
        <v>45492</v>
      </c>
      <c r="L68" s="17"/>
      <c r="M68" t="s">
        <v>186</v>
      </c>
      <c r="N68" t="s">
        <v>155</v>
      </c>
      <c r="O68" s="18">
        <v>2503010.36</v>
      </c>
      <c r="P68" s="18">
        <v>0</v>
      </c>
      <c r="Q68" s="18">
        <v>381279.87</v>
      </c>
      <c r="R68" s="18">
        <v>0</v>
      </c>
      <c r="S68" s="18">
        <v>5223.95</v>
      </c>
      <c r="T68" s="18">
        <v>2126170.85</v>
      </c>
      <c r="U68" s="18">
        <v>783.59</v>
      </c>
      <c r="V68" s="18">
        <v>0</v>
      </c>
      <c r="W68" s="18">
        <v>0</v>
      </c>
      <c r="X68" s="18">
        <v>0</v>
      </c>
      <c r="Y68" s="18">
        <v>2126170.85</v>
      </c>
      <c r="Z68">
        <v>2.0869999999999999E-3</v>
      </c>
      <c r="AA68">
        <v>0.2152</v>
      </c>
      <c r="AD68">
        <v>9.7000000000000003E-3</v>
      </c>
      <c r="AG68">
        <v>-1E-3</v>
      </c>
      <c r="AH68">
        <v>21</v>
      </c>
      <c r="AJ68" t="s">
        <v>187</v>
      </c>
      <c r="AK68" t="s">
        <v>142</v>
      </c>
      <c r="AL68">
        <v>0.15</v>
      </c>
      <c r="AM68" t="s">
        <v>141</v>
      </c>
      <c r="AN68" t="s">
        <v>141</v>
      </c>
      <c r="AO68" t="s">
        <v>143</v>
      </c>
      <c r="AP68" t="s">
        <v>153</v>
      </c>
      <c r="AQ68" t="s">
        <v>144</v>
      </c>
      <c r="AR68" t="s">
        <v>212</v>
      </c>
      <c r="AS68" t="s">
        <v>189</v>
      </c>
      <c r="AT68">
        <v>0</v>
      </c>
      <c r="AU68" t="s">
        <v>146</v>
      </c>
      <c r="AW68" t="s">
        <v>147</v>
      </c>
      <c r="AX68" s="17">
        <v>45747</v>
      </c>
      <c r="AY68" t="s">
        <v>148</v>
      </c>
      <c r="AZ68" t="s">
        <v>318</v>
      </c>
      <c r="BA68" s="18">
        <f t="shared" si="4"/>
        <v>0</v>
      </c>
      <c r="BB68" s="18">
        <f t="shared" si="5"/>
        <v>2314590.605</v>
      </c>
    </row>
    <row r="69" spans="1:54" x14ac:dyDescent="0.25">
      <c r="A69" s="17">
        <v>45747</v>
      </c>
      <c r="B69" t="s">
        <v>214</v>
      </c>
      <c r="C69" t="s">
        <v>151</v>
      </c>
      <c r="D69" t="s">
        <v>215</v>
      </c>
      <c r="E69" t="s">
        <v>134</v>
      </c>
      <c r="F69" t="s">
        <v>216</v>
      </c>
      <c r="G69" t="s">
        <v>217</v>
      </c>
      <c r="H69" t="s">
        <v>137</v>
      </c>
      <c r="I69">
        <v>0.86270000000000002</v>
      </c>
      <c r="K69" s="17">
        <v>45319</v>
      </c>
      <c r="L69" s="17"/>
      <c r="M69" t="s">
        <v>186</v>
      </c>
      <c r="N69" t="s">
        <v>155</v>
      </c>
      <c r="O69" s="18">
        <v>2022144.63</v>
      </c>
      <c r="P69" s="18">
        <v>0</v>
      </c>
      <c r="Q69" s="18">
        <v>0</v>
      </c>
      <c r="R69" s="18">
        <v>0</v>
      </c>
      <c r="S69" s="18">
        <v>16921.689999999999</v>
      </c>
      <c r="T69" s="18">
        <v>2039066.32</v>
      </c>
      <c r="U69" s="18">
        <v>0</v>
      </c>
      <c r="V69" s="18">
        <v>0</v>
      </c>
      <c r="W69" s="18">
        <v>2538.25</v>
      </c>
      <c r="X69" s="18">
        <v>0</v>
      </c>
      <c r="Y69" s="18">
        <v>2036528.07</v>
      </c>
      <c r="Z69">
        <v>8.3680000000000004E-3</v>
      </c>
      <c r="AA69">
        <v>0.86270000000000002</v>
      </c>
      <c r="AD69">
        <v>9.7000000000000003E-3</v>
      </c>
      <c r="AG69">
        <v>-1E-3</v>
      </c>
      <c r="AH69">
        <v>21</v>
      </c>
      <c r="AJ69" t="s">
        <v>187</v>
      </c>
      <c r="AK69" t="s">
        <v>141</v>
      </c>
      <c r="AL69">
        <v>0.15</v>
      </c>
      <c r="AM69" t="s">
        <v>141</v>
      </c>
      <c r="AN69" t="s">
        <v>141</v>
      </c>
      <c r="AO69" t="s">
        <v>143</v>
      </c>
      <c r="AP69" t="s">
        <v>134</v>
      </c>
      <c r="AQ69" t="s">
        <v>144</v>
      </c>
      <c r="AR69" t="s">
        <v>218</v>
      </c>
      <c r="AS69" t="s">
        <v>189</v>
      </c>
      <c r="AT69">
        <v>0</v>
      </c>
      <c r="AU69" t="s">
        <v>146</v>
      </c>
      <c r="AW69" t="s">
        <v>147</v>
      </c>
      <c r="AX69" s="17">
        <v>45747</v>
      </c>
      <c r="AY69" t="s">
        <v>148</v>
      </c>
      <c r="AZ69" t="s">
        <v>319</v>
      </c>
      <c r="BA69" s="18">
        <f t="shared" si="4"/>
        <v>0</v>
      </c>
      <c r="BB69" s="18">
        <f t="shared" si="5"/>
        <v>2030605.4750000001</v>
      </c>
    </row>
    <row r="70" spans="1:54" x14ac:dyDescent="0.25">
      <c r="A70" s="17">
        <v>45747</v>
      </c>
      <c r="B70" t="s">
        <v>220</v>
      </c>
      <c r="C70" t="s">
        <v>132</v>
      </c>
      <c r="D70" t="s">
        <v>170</v>
      </c>
      <c r="E70" t="s">
        <v>153</v>
      </c>
      <c r="F70" t="s">
        <v>163</v>
      </c>
      <c r="G70" t="s">
        <v>221</v>
      </c>
      <c r="H70" t="s">
        <v>165</v>
      </c>
      <c r="J70">
        <v>5.4999999999999997E-3</v>
      </c>
      <c r="K70" s="17">
        <v>45335</v>
      </c>
      <c r="L70" s="17">
        <v>47041</v>
      </c>
      <c r="M70" t="s">
        <v>138</v>
      </c>
      <c r="N70" t="s">
        <v>139</v>
      </c>
      <c r="O70" s="18">
        <v>2155423.63</v>
      </c>
      <c r="P70" s="18">
        <v>23401.98</v>
      </c>
      <c r="Q70" s="18">
        <v>0</v>
      </c>
      <c r="R70" s="18">
        <v>0</v>
      </c>
      <c r="S70" s="18">
        <v>9752.06</v>
      </c>
      <c r="T70" s="18">
        <v>2188577.67</v>
      </c>
      <c r="U70" s="18">
        <v>0</v>
      </c>
      <c r="V70" s="18">
        <v>0</v>
      </c>
      <c r="W70" s="18">
        <v>1462.81</v>
      </c>
      <c r="X70" s="18">
        <v>0</v>
      </c>
      <c r="Y70" s="18">
        <v>2187114.86</v>
      </c>
      <c r="Z70">
        <v>4.4759999999999999E-3</v>
      </c>
      <c r="AA70">
        <v>0.46139999999999998</v>
      </c>
      <c r="AD70">
        <v>9.7000000000000003E-3</v>
      </c>
      <c r="AG70">
        <v>-1E-3</v>
      </c>
      <c r="AH70">
        <v>21</v>
      </c>
      <c r="AI70">
        <v>1294</v>
      </c>
      <c r="AJ70" t="s">
        <v>140</v>
      </c>
      <c r="AK70" t="s">
        <v>141</v>
      </c>
      <c r="AL70">
        <v>0.15</v>
      </c>
      <c r="AM70" t="s">
        <v>141</v>
      </c>
      <c r="AN70" t="s">
        <v>141</v>
      </c>
      <c r="AO70" t="s">
        <v>157</v>
      </c>
      <c r="AP70" t="s">
        <v>153</v>
      </c>
      <c r="AQ70" t="s">
        <v>144</v>
      </c>
      <c r="AR70" t="s">
        <v>222</v>
      </c>
      <c r="AS70" t="s">
        <v>138</v>
      </c>
      <c r="AT70">
        <v>0</v>
      </c>
      <c r="AU70" t="s">
        <v>146</v>
      </c>
      <c r="AW70" t="s">
        <v>147</v>
      </c>
      <c r="AX70" s="17">
        <v>45747</v>
      </c>
      <c r="AY70" t="s">
        <v>148</v>
      </c>
      <c r="AZ70" t="s">
        <v>320</v>
      </c>
      <c r="BA70" s="18">
        <f t="shared" si="4"/>
        <v>0</v>
      </c>
      <c r="BB70" s="18">
        <f t="shared" si="5"/>
        <v>2172000.65</v>
      </c>
    </row>
    <row r="71" spans="1:54" x14ac:dyDescent="0.25">
      <c r="A71" s="17">
        <v>45747</v>
      </c>
      <c r="B71" t="s">
        <v>224</v>
      </c>
      <c r="C71" t="s">
        <v>151</v>
      </c>
      <c r="D71" t="s">
        <v>170</v>
      </c>
      <c r="E71" t="s">
        <v>134</v>
      </c>
      <c r="F71" t="s">
        <v>201</v>
      </c>
      <c r="G71" t="s">
        <v>225</v>
      </c>
      <c r="H71" t="s">
        <v>137</v>
      </c>
      <c r="I71">
        <v>1.0104</v>
      </c>
      <c r="K71" s="17">
        <v>45614</v>
      </c>
      <c r="L71" s="17">
        <v>46702</v>
      </c>
      <c r="M71" t="s">
        <v>138</v>
      </c>
      <c r="N71" t="s">
        <v>139</v>
      </c>
      <c r="O71" s="18">
        <v>1256002.03</v>
      </c>
      <c r="P71" s="18">
        <v>0</v>
      </c>
      <c r="Q71" s="18">
        <v>171631.99</v>
      </c>
      <c r="R71" s="18">
        <v>0</v>
      </c>
      <c r="S71" s="18">
        <v>11468.85</v>
      </c>
      <c r="T71" s="18">
        <v>1095838.8899999999</v>
      </c>
      <c r="U71" s="18">
        <v>0</v>
      </c>
      <c r="V71" s="18">
        <v>0</v>
      </c>
      <c r="W71" s="18">
        <v>1720.33</v>
      </c>
      <c r="X71" s="18">
        <v>0</v>
      </c>
      <c r="Y71" s="18">
        <v>1094118.56</v>
      </c>
      <c r="Z71">
        <v>9.1310000000000002E-3</v>
      </c>
      <c r="AA71">
        <v>0.94140000000000001</v>
      </c>
      <c r="AD71">
        <v>9.7000000000000003E-3</v>
      </c>
      <c r="AG71">
        <v>-1E-3</v>
      </c>
      <c r="AH71">
        <v>21</v>
      </c>
      <c r="AI71">
        <v>955</v>
      </c>
      <c r="AJ71" t="s">
        <v>140</v>
      </c>
      <c r="AK71" t="s">
        <v>141</v>
      </c>
      <c r="AL71">
        <v>0.15</v>
      </c>
      <c r="AM71" t="s">
        <v>141</v>
      </c>
      <c r="AN71" t="s">
        <v>142</v>
      </c>
      <c r="AO71" t="s">
        <v>157</v>
      </c>
      <c r="AP71" t="s">
        <v>134</v>
      </c>
      <c r="AQ71" t="s">
        <v>144</v>
      </c>
      <c r="AR71" t="s">
        <v>226</v>
      </c>
      <c r="AS71" t="s">
        <v>138</v>
      </c>
      <c r="AT71">
        <v>0</v>
      </c>
      <c r="AU71" t="s">
        <v>146</v>
      </c>
      <c r="AW71" t="s">
        <v>147</v>
      </c>
      <c r="AX71" s="17">
        <v>45747</v>
      </c>
      <c r="AY71" t="s">
        <v>148</v>
      </c>
      <c r="AZ71" t="s">
        <v>321</v>
      </c>
      <c r="BA71" s="18">
        <f t="shared" si="4"/>
        <v>0</v>
      </c>
      <c r="BB71" s="18">
        <f t="shared" si="5"/>
        <v>1175920.46</v>
      </c>
    </row>
    <row r="72" spans="1:54" x14ac:dyDescent="0.25">
      <c r="A72" s="17">
        <v>45747</v>
      </c>
      <c r="B72" t="s">
        <v>228</v>
      </c>
      <c r="C72" t="s">
        <v>151</v>
      </c>
      <c r="D72" t="s">
        <v>170</v>
      </c>
      <c r="E72" t="s">
        <v>153</v>
      </c>
      <c r="F72" t="s">
        <v>210</v>
      </c>
      <c r="G72" t="s">
        <v>211</v>
      </c>
      <c r="H72" t="s">
        <v>137</v>
      </c>
      <c r="I72">
        <v>0.32629999999999998</v>
      </c>
      <c r="K72" s="17">
        <v>45368</v>
      </c>
      <c r="L72" s="17"/>
      <c r="M72" t="s">
        <v>186</v>
      </c>
      <c r="N72" t="s">
        <v>155</v>
      </c>
      <c r="O72" s="18">
        <v>1300349.05</v>
      </c>
      <c r="P72" s="18">
        <v>0</v>
      </c>
      <c r="Q72" s="18">
        <v>0</v>
      </c>
      <c r="R72" s="18">
        <v>0</v>
      </c>
      <c r="S72" s="18">
        <v>4115.75</v>
      </c>
      <c r="T72" s="18">
        <v>1303847.44</v>
      </c>
      <c r="U72" s="18">
        <v>617.36</v>
      </c>
      <c r="V72" s="18">
        <v>0</v>
      </c>
      <c r="W72" s="18">
        <v>0</v>
      </c>
      <c r="X72" s="18">
        <v>0</v>
      </c>
      <c r="Y72" s="18">
        <v>1303847.44</v>
      </c>
      <c r="Z72">
        <v>3.1649999999999998E-3</v>
      </c>
      <c r="AA72">
        <v>0.32629999999999998</v>
      </c>
      <c r="AD72">
        <v>9.7000000000000003E-3</v>
      </c>
      <c r="AG72">
        <v>-1E-3</v>
      </c>
      <c r="AH72">
        <v>21</v>
      </c>
      <c r="AJ72" t="s">
        <v>187</v>
      </c>
      <c r="AK72" t="s">
        <v>142</v>
      </c>
      <c r="AL72">
        <v>0.15</v>
      </c>
      <c r="AM72" t="s">
        <v>141</v>
      </c>
      <c r="AN72" t="s">
        <v>141</v>
      </c>
      <c r="AO72" t="s">
        <v>197</v>
      </c>
      <c r="AP72" t="s">
        <v>153</v>
      </c>
      <c r="AQ72" t="s">
        <v>144</v>
      </c>
      <c r="AR72" t="s">
        <v>229</v>
      </c>
      <c r="AS72" t="s">
        <v>189</v>
      </c>
      <c r="AT72">
        <v>0</v>
      </c>
      <c r="AU72" t="s">
        <v>146</v>
      </c>
      <c r="AW72" t="s">
        <v>147</v>
      </c>
      <c r="AX72" s="17">
        <v>45747</v>
      </c>
      <c r="AY72" t="s">
        <v>148</v>
      </c>
      <c r="AZ72" t="s">
        <v>322</v>
      </c>
      <c r="BA72" s="18">
        <f t="shared" si="4"/>
        <v>0</v>
      </c>
      <c r="BB72" s="18">
        <f t="shared" si="5"/>
        <v>1302098.2450000001</v>
      </c>
    </row>
    <row r="73" spans="1:54" x14ac:dyDescent="0.25">
      <c r="A73" s="17">
        <v>45747</v>
      </c>
      <c r="B73" t="s">
        <v>231</v>
      </c>
      <c r="C73" t="s">
        <v>151</v>
      </c>
      <c r="D73" t="s">
        <v>152</v>
      </c>
      <c r="E73" t="s">
        <v>162</v>
      </c>
      <c r="F73" t="s">
        <v>184</v>
      </c>
      <c r="G73" t="s">
        <v>196</v>
      </c>
      <c r="H73" t="s">
        <v>137</v>
      </c>
      <c r="I73">
        <v>0.98770000000000002</v>
      </c>
      <c r="K73" s="17">
        <v>45468</v>
      </c>
      <c r="L73" s="17"/>
      <c r="M73" t="s">
        <v>186</v>
      </c>
      <c r="N73" t="s">
        <v>155</v>
      </c>
      <c r="O73" s="18">
        <v>2345589.13</v>
      </c>
      <c r="P73" s="18">
        <v>0</v>
      </c>
      <c r="Q73" s="18">
        <v>0</v>
      </c>
      <c r="R73" s="18">
        <v>0</v>
      </c>
      <c r="S73" s="18">
        <v>22472.36</v>
      </c>
      <c r="T73" s="18">
        <v>2364690.64</v>
      </c>
      <c r="U73" s="18">
        <v>3370.85</v>
      </c>
      <c r="V73" s="18">
        <v>0</v>
      </c>
      <c r="W73" s="18">
        <v>0</v>
      </c>
      <c r="X73" s="18">
        <v>0</v>
      </c>
      <c r="Y73" s="18">
        <v>2364690.64</v>
      </c>
      <c r="Z73">
        <v>9.5809999999999992E-3</v>
      </c>
      <c r="AA73">
        <v>0.98770000000000002</v>
      </c>
      <c r="AD73">
        <v>9.7000000000000003E-3</v>
      </c>
      <c r="AG73">
        <v>-1E-3</v>
      </c>
      <c r="AH73">
        <v>21</v>
      </c>
      <c r="AJ73" t="s">
        <v>187</v>
      </c>
      <c r="AK73" t="s">
        <v>142</v>
      </c>
      <c r="AL73">
        <v>0.15</v>
      </c>
      <c r="AM73" t="s">
        <v>141</v>
      </c>
      <c r="AN73" t="s">
        <v>141</v>
      </c>
      <c r="AO73" t="s">
        <v>157</v>
      </c>
      <c r="AP73" t="s">
        <v>162</v>
      </c>
      <c r="AQ73" t="s">
        <v>144</v>
      </c>
      <c r="AR73" t="s">
        <v>232</v>
      </c>
      <c r="AS73" t="s">
        <v>189</v>
      </c>
      <c r="AT73">
        <v>0</v>
      </c>
      <c r="AU73" t="s">
        <v>146</v>
      </c>
      <c r="AW73" t="s">
        <v>147</v>
      </c>
      <c r="AX73" s="17">
        <v>45747</v>
      </c>
      <c r="AY73" t="s">
        <v>148</v>
      </c>
      <c r="AZ73" t="s">
        <v>323</v>
      </c>
      <c r="BA73" s="18">
        <f t="shared" si="4"/>
        <v>0</v>
      </c>
      <c r="BB73" s="18">
        <f t="shared" si="5"/>
        <v>2355139.8849999998</v>
      </c>
    </row>
    <row r="74" spans="1:54" x14ac:dyDescent="0.25">
      <c r="A74" s="17">
        <v>45747</v>
      </c>
      <c r="B74" t="s">
        <v>234</v>
      </c>
      <c r="C74" t="s">
        <v>169</v>
      </c>
      <c r="D74" t="s">
        <v>177</v>
      </c>
      <c r="E74" t="s">
        <v>153</v>
      </c>
      <c r="F74" t="s">
        <v>201</v>
      </c>
      <c r="G74" t="s">
        <v>235</v>
      </c>
      <c r="H74" t="s">
        <v>137</v>
      </c>
      <c r="I74">
        <v>0.98409999999999997</v>
      </c>
      <c r="K74" s="17">
        <v>45459</v>
      </c>
      <c r="L74" s="17">
        <v>45700</v>
      </c>
      <c r="M74" t="s">
        <v>138</v>
      </c>
      <c r="N74" t="s">
        <v>155</v>
      </c>
      <c r="O74" s="18">
        <v>2240941.8199999998</v>
      </c>
      <c r="P74" s="18">
        <v>0</v>
      </c>
      <c r="Q74" s="18">
        <v>0</v>
      </c>
      <c r="R74" s="18">
        <v>0</v>
      </c>
      <c r="S74" s="18">
        <v>21391.52</v>
      </c>
      <c r="T74" s="18">
        <v>2262333.34</v>
      </c>
      <c r="U74" s="18">
        <v>0</v>
      </c>
      <c r="V74" s="18">
        <v>0</v>
      </c>
      <c r="W74" s="18">
        <v>3208.73</v>
      </c>
      <c r="X74" s="18">
        <v>0</v>
      </c>
      <c r="Y74" s="18">
        <v>2259124.61</v>
      </c>
      <c r="Z74">
        <v>9.5460000000000007E-3</v>
      </c>
      <c r="AA74">
        <v>0.98409999999999997</v>
      </c>
      <c r="AD74">
        <v>9.7000000000000003E-3</v>
      </c>
      <c r="AG74">
        <v>-1E-3</v>
      </c>
      <c r="AH74">
        <v>21</v>
      </c>
      <c r="AI74">
        <v>-47</v>
      </c>
      <c r="AJ74" t="s">
        <v>156</v>
      </c>
      <c r="AK74" t="s">
        <v>141</v>
      </c>
      <c r="AL74">
        <v>0.15</v>
      </c>
      <c r="AM74" t="s">
        <v>141</v>
      </c>
      <c r="AN74" t="s">
        <v>142</v>
      </c>
      <c r="AO74" t="s">
        <v>143</v>
      </c>
      <c r="AP74" t="s">
        <v>153</v>
      </c>
      <c r="AQ74" t="s">
        <v>144</v>
      </c>
      <c r="AR74" t="s">
        <v>236</v>
      </c>
      <c r="AS74" t="s">
        <v>138</v>
      </c>
      <c r="AT74">
        <v>0</v>
      </c>
      <c r="AU74" t="s">
        <v>146</v>
      </c>
      <c r="AW74" t="s">
        <v>147</v>
      </c>
      <c r="AX74" s="17">
        <v>45747</v>
      </c>
      <c r="AY74" t="s">
        <v>148</v>
      </c>
      <c r="AZ74" t="s">
        <v>324</v>
      </c>
      <c r="BA74" s="18">
        <f t="shared" si="4"/>
        <v>0</v>
      </c>
      <c r="BB74" s="18">
        <f t="shared" si="5"/>
        <v>2251637.58</v>
      </c>
    </row>
    <row r="75" spans="1:54" x14ac:dyDescent="0.25">
      <c r="A75" s="17">
        <v>45747</v>
      </c>
      <c r="B75" t="s">
        <v>238</v>
      </c>
      <c r="C75" t="s">
        <v>151</v>
      </c>
      <c r="D75" t="s">
        <v>215</v>
      </c>
      <c r="E75" t="s">
        <v>134</v>
      </c>
      <c r="F75" t="s">
        <v>135</v>
      </c>
      <c r="G75" t="s">
        <v>136</v>
      </c>
      <c r="H75" t="s">
        <v>137</v>
      </c>
      <c r="I75">
        <v>0.92620000000000002</v>
      </c>
      <c r="K75" s="17">
        <v>45642</v>
      </c>
      <c r="L75" s="17">
        <v>45925</v>
      </c>
      <c r="M75" t="s">
        <v>138</v>
      </c>
      <c r="N75" t="s">
        <v>155</v>
      </c>
      <c r="O75" s="18">
        <v>2410115.7000000002</v>
      </c>
      <c r="P75" s="18">
        <v>0</v>
      </c>
      <c r="Q75" s="18">
        <v>0</v>
      </c>
      <c r="R75" s="18">
        <v>0</v>
      </c>
      <c r="S75" s="18">
        <v>21652.82</v>
      </c>
      <c r="T75" s="18">
        <v>2431768.52</v>
      </c>
      <c r="U75" s="18">
        <v>0</v>
      </c>
      <c r="V75" s="18">
        <v>0</v>
      </c>
      <c r="W75" s="18">
        <v>0</v>
      </c>
      <c r="X75" s="18">
        <v>0</v>
      </c>
      <c r="Y75" s="18">
        <v>2431768.52</v>
      </c>
      <c r="Z75">
        <v>8.9840000000000007E-3</v>
      </c>
      <c r="AA75">
        <v>0.92620000000000002</v>
      </c>
      <c r="AD75">
        <v>9.7000000000000003E-3</v>
      </c>
      <c r="AG75">
        <v>-1E-3</v>
      </c>
      <c r="AH75">
        <v>21</v>
      </c>
      <c r="AI75">
        <v>178</v>
      </c>
      <c r="AJ75" t="s">
        <v>173</v>
      </c>
      <c r="AK75" t="s">
        <v>141</v>
      </c>
      <c r="AL75">
        <v>0</v>
      </c>
      <c r="AM75" t="s">
        <v>142</v>
      </c>
      <c r="AN75" t="s">
        <v>142</v>
      </c>
      <c r="AO75" t="s">
        <v>157</v>
      </c>
      <c r="AP75" t="s">
        <v>134</v>
      </c>
      <c r="AQ75" t="s">
        <v>144</v>
      </c>
      <c r="AR75" t="s">
        <v>239</v>
      </c>
      <c r="AS75" t="s">
        <v>138</v>
      </c>
      <c r="AT75">
        <v>0</v>
      </c>
      <c r="AU75" t="s">
        <v>146</v>
      </c>
      <c r="AW75" t="s">
        <v>147</v>
      </c>
      <c r="AX75" s="17">
        <v>45747</v>
      </c>
      <c r="AY75" t="s">
        <v>148</v>
      </c>
      <c r="AZ75" t="s">
        <v>325</v>
      </c>
      <c r="BA75" s="18">
        <f t="shared" si="4"/>
        <v>0</v>
      </c>
      <c r="BB75" s="18">
        <f t="shared" si="5"/>
        <v>2420942.1100000003</v>
      </c>
    </row>
    <row r="76" spans="1:54" x14ac:dyDescent="0.25">
      <c r="A76" s="17">
        <v>45747</v>
      </c>
      <c r="B76" t="s">
        <v>241</v>
      </c>
      <c r="C76" t="s">
        <v>132</v>
      </c>
      <c r="D76" t="s">
        <v>177</v>
      </c>
      <c r="E76" t="s">
        <v>183</v>
      </c>
      <c r="F76" t="s">
        <v>242</v>
      </c>
      <c r="G76" t="s">
        <v>243</v>
      </c>
      <c r="H76" t="s">
        <v>137</v>
      </c>
      <c r="I76">
        <v>0.91990000000000005</v>
      </c>
      <c r="K76" s="17">
        <v>45563</v>
      </c>
      <c r="L76" s="17">
        <v>47306</v>
      </c>
      <c r="M76" t="s">
        <v>138</v>
      </c>
      <c r="N76" t="s">
        <v>139</v>
      </c>
      <c r="O76" s="18">
        <v>1044901.46</v>
      </c>
      <c r="P76" s="18">
        <v>0</v>
      </c>
      <c r="Q76" s="18">
        <v>107187.33</v>
      </c>
      <c r="R76" s="18">
        <v>0</v>
      </c>
      <c r="S76" s="18">
        <v>8845.4699999999993</v>
      </c>
      <c r="T76" s="18">
        <v>946559.6</v>
      </c>
      <c r="U76" s="18">
        <v>0</v>
      </c>
      <c r="V76" s="18">
        <v>0</v>
      </c>
      <c r="W76" s="18">
        <v>0</v>
      </c>
      <c r="X76" s="18">
        <v>0</v>
      </c>
      <c r="Y76" s="18">
        <v>946559.6</v>
      </c>
      <c r="Z76">
        <v>8.4650000000000003E-3</v>
      </c>
      <c r="AA76">
        <v>0.87270000000000003</v>
      </c>
      <c r="AD76">
        <v>9.7000000000000003E-3</v>
      </c>
      <c r="AG76">
        <v>-1E-3</v>
      </c>
      <c r="AH76">
        <v>21</v>
      </c>
      <c r="AI76">
        <v>1559</v>
      </c>
      <c r="AJ76" t="s">
        <v>140</v>
      </c>
      <c r="AK76" t="s">
        <v>141</v>
      </c>
      <c r="AL76">
        <v>0</v>
      </c>
      <c r="AM76" t="s">
        <v>142</v>
      </c>
      <c r="AN76" t="s">
        <v>142</v>
      </c>
      <c r="AO76" t="s">
        <v>143</v>
      </c>
      <c r="AP76" t="s">
        <v>183</v>
      </c>
      <c r="AQ76" t="s">
        <v>144</v>
      </c>
      <c r="AR76" t="s">
        <v>244</v>
      </c>
      <c r="AS76" t="s">
        <v>138</v>
      </c>
      <c r="AT76">
        <v>0</v>
      </c>
      <c r="AU76" t="s">
        <v>146</v>
      </c>
      <c r="AW76" t="s">
        <v>147</v>
      </c>
      <c r="AX76" s="17">
        <v>45747</v>
      </c>
      <c r="AY76" t="s">
        <v>148</v>
      </c>
      <c r="AZ76" t="s">
        <v>326</v>
      </c>
      <c r="BA76" s="18">
        <f t="shared" si="4"/>
        <v>0</v>
      </c>
      <c r="BB76" s="18">
        <f t="shared" si="5"/>
        <v>995730.53</v>
      </c>
    </row>
    <row r="77" spans="1:54" x14ac:dyDescent="0.25">
      <c r="A77" s="17">
        <v>45747</v>
      </c>
      <c r="B77" t="s">
        <v>246</v>
      </c>
      <c r="C77" t="s">
        <v>151</v>
      </c>
      <c r="D77" t="s">
        <v>209</v>
      </c>
      <c r="E77" t="s">
        <v>178</v>
      </c>
      <c r="F77" t="s">
        <v>171</v>
      </c>
      <c r="G77" t="s">
        <v>247</v>
      </c>
      <c r="H77" t="s">
        <v>137</v>
      </c>
      <c r="I77">
        <v>0.99039999999999995</v>
      </c>
      <c r="K77" s="17">
        <v>45550</v>
      </c>
      <c r="L77" s="17">
        <v>45755</v>
      </c>
      <c r="M77" t="s">
        <v>138</v>
      </c>
      <c r="N77" t="s">
        <v>155</v>
      </c>
      <c r="O77" s="18">
        <v>1338344.28</v>
      </c>
      <c r="P77" s="18">
        <v>0</v>
      </c>
      <c r="Q77" s="18">
        <v>0</v>
      </c>
      <c r="R77" s="18">
        <v>0</v>
      </c>
      <c r="S77" s="18">
        <v>12857.31</v>
      </c>
      <c r="T77" s="18">
        <v>1351201.59</v>
      </c>
      <c r="U77" s="18">
        <v>0</v>
      </c>
      <c r="V77" s="18">
        <v>0</v>
      </c>
      <c r="W77" s="18">
        <v>1928.6</v>
      </c>
      <c r="X77" s="18">
        <v>0</v>
      </c>
      <c r="Y77" s="18">
        <v>1349272.99</v>
      </c>
      <c r="Z77">
        <v>9.6069999999999992E-3</v>
      </c>
      <c r="AA77">
        <v>0.99039999999999995</v>
      </c>
      <c r="AD77">
        <v>9.7000000000000003E-3</v>
      </c>
      <c r="AG77">
        <v>-1E-3</v>
      </c>
      <c r="AH77">
        <v>21</v>
      </c>
      <c r="AI77">
        <v>8</v>
      </c>
      <c r="AJ77" t="s">
        <v>156</v>
      </c>
      <c r="AK77" t="s">
        <v>141</v>
      </c>
      <c r="AL77">
        <v>0.15</v>
      </c>
      <c r="AM77" t="s">
        <v>141</v>
      </c>
      <c r="AN77" t="s">
        <v>141</v>
      </c>
      <c r="AO77" t="s">
        <v>157</v>
      </c>
      <c r="AP77" t="s">
        <v>178</v>
      </c>
      <c r="AQ77" t="s">
        <v>144</v>
      </c>
      <c r="AR77" t="s">
        <v>248</v>
      </c>
      <c r="AS77" t="s">
        <v>138</v>
      </c>
      <c r="AT77">
        <v>0</v>
      </c>
      <c r="AU77" t="s">
        <v>146</v>
      </c>
      <c r="AW77" t="s">
        <v>147</v>
      </c>
      <c r="AX77" s="17">
        <v>45747</v>
      </c>
      <c r="AY77" t="s">
        <v>148</v>
      </c>
      <c r="AZ77" t="s">
        <v>327</v>
      </c>
      <c r="BA77" s="18">
        <f t="shared" si="4"/>
        <v>0</v>
      </c>
      <c r="BB77" s="18">
        <f t="shared" si="5"/>
        <v>1344772.9350000001</v>
      </c>
    </row>
    <row r="78" spans="1:54" x14ac:dyDescent="0.25">
      <c r="A78" s="17">
        <v>45747</v>
      </c>
      <c r="B78" t="s">
        <v>250</v>
      </c>
      <c r="C78" t="s">
        <v>132</v>
      </c>
      <c r="D78" t="s">
        <v>251</v>
      </c>
      <c r="E78" t="s">
        <v>134</v>
      </c>
      <c r="F78" t="s">
        <v>184</v>
      </c>
      <c r="G78" t="s">
        <v>252</v>
      </c>
      <c r="H78" t="s">
        <v>137</v>
      </c>
      <c r="I78">
        <v>0.95140000000000002</v>
      </c>
      <c r="K78" s="17">
        <v>45345</v>
      </c>
      <c r="L78" s="17"/>
      <c r="M78" t="s">
        <v>186</v>
      </c>
      <c r="N78" t="s">
        <v>155</v>
      </c>
      <c r="O78" s="18">
        <v>2485628.21</v>
      </c>
      <c r="P78" s="18">
        <v>0</v>
      </c>
      <c r="Q78" s="18">
        <v>0</v>
      </c>
      <c r="R78" s="18">
        <v>0</v>
      </c>
      <c r="S78" s="18">
        <v>22938.82</v>
      </c>
      <c r="T78" s="18">
        <v>2505126.21</v>
      </c>
      <c r="U78" s="18">
        <v>3440.82</v>
      </c>
      <c r="V78" s="18">
        <v>0</v>
      </c>
      <c r="W78" s="18">
        <v>0</v>
      </c>
      <c r="X78" s="18">
        <v>0</v>
      </c>
      <c r="Y78" s="18">
        <v>2505126.21</v>
      </c>
      <c r="Z78">
        <v>9.2289999999999994E-3</v>
      </c>
      <c r="AA78">
        <v>0.95140000000000002</v>
      </c>
      <c r="AD78">
        <v>9.7000000000000003E-3</v>
      </c>
      <c r="AG78">
        <v>-1E-3</v>
      </c>
      <c r="AH78">
        <v>21</v>
      </c>
      <c r="AJ78" t="s">
        <v>187</v>
      </c>
      <c r="AK78" t="s">
        <v>142</v>
      </c>
      <c r="AL78">
        <v>0.15</v>
      </c>
      <c r="AM78" t="s">
        <v>141</v>
      </c>
      <c r="AN78" t="s">
        <v>141</v>
      </c>
      <c r="AO78" t="s">
        <v>197</v>
      </c>
      <c r="AP78" t="s">
        <v>134</v>
      </c>
      <c r="AQ78" t="s">
        <v>144</v>
      </c>
      <c r="AR78" t="s">
        <v>253</v>
      </c>
      <c r="AS78" t="s">
        <v>189</v>
      </c>
      <c r="AT78">
        <v>0</v>
      </c>
      <c r="AU78" t="s">
        <v>146</v>
      </c>
      <c r="AW78" t="s">
        <v>147</v>
      </c>
      <c r="AX78" s="17">
        <v>45747</v>
      </c>
      <c r="AY78" t="s">
        <v>148</v>
      </c>
      <c r="AZ78" t="s">
        <v>328</v>
      </c>
      <c r="BA78" s="18">
        <f t="shared" si="4"/>
        <v>0</v>
      </c>
      <c r="BB78" s="18">
        <f t="shared" si="5"/>
        <v>2495377.21</v>
      </c>
    </row>
    <row r="79" spans="1:54" x14ac:dyDescent="0.25">
      <c r="A79" s="17">
        <v>45747</v>
      </c>
      <c r="B79" t="s">
        <v>255</v>
      </c>
      <c r="C79" t="s">
        <v>151</v>
      </c>
      <c r="D79" t="s">
        <v>152</v>
      </c>
      <c r="E79" t="s">
        <v>134</v>
      </c>
      <c r="F79" t="s">
        <v>171</v>
      </c>
      <c r="G79" t="s">
        <v>172</v>
      </c>
      <c r="H79" t="s">
        <v>137</v>
      </c>
      <c r="I79">
        <v>0.99260000000000004</v>
      </c>
      <c r="K79" s="17">
        <v>45543</v>
      </c>
      <c r="L79" s="17">
        <v>46707</v>
      </c>
      <c r="M79" t="s">
        <v>138</v>
      </c>
      <c r="N79" t="s">
        <v>139</v>
      </c>
      <c r="O79" s="18">
        <v>2384744.42</v>
      </c>
      <c r="P79" s="18">
        <v>0</v>
      </c>
      <c r="Q79" s="18">
        <v>0</v>
      </c>
      <c r="R79" s="18">
        <v>0</v>
      </c>
      <c r="S79" s="18">
        <v>22960.84</v>
      </c>
      <c r="T79" s="18">
        <v>2407705.2599999998</v>
      </c>
      <c r="U79" s="18">
        <v>0</v>
      </c>
      <c r="V79" s="18">
        <v>0</v>
      </c>
      <c r="W79" s="18">
        <v>3444.13</v>
      </c>
      <c r="X79" s="18">
        <v>0</v>
      </c>
      <c r="Y79" s="18">
        <v>2404261.13</v>
      </c>
      <c r="Z79">
        <v>9.6279999999999994E-3</v>
      </c>
      <c r="AA79">
        <v>0.99260000000000004</v>
      </c>
      <c r="AD79">
        <v>9.7000000000000003E-3</v>
      </c>
      <c r="AG79">
        <v>-1E-3</v>
      </c>
      <c r="AH79">
        <v>21</v>
      </c>
      <c r="AI79">
        <v>960</v>
      </c>
      <c r="AJ79" t="s">
        <v>140</v>
      </c>
      <c r="AK79" t="s">
        <v>141</v>
      </c>
      <c r="AL79">
        <v>0.15</v>
      </c>
      <c r="AM79" t="s">
        <v>141</v>
      </c>
      <c r="AN79" t="s">
        <v>141</v>
      </c>
      <c r="AO79" t="s">
        <v>157</v>
      </c>
      <c r="AP79" t="s">
        <v>134</v>
      </c>
      <c r="AQ79" t="s">
        <v>144</v>
      </c>
      <c r="AR79" t="s">
        <v>256</v>
      </c>
      <c r="AS79" t="s">
        <v>138</v>
      </c>
      <c r="AT79">
        <v>0</v>
      </c>
      <c r="AU79" t="s">
        <v>146</v>
      </c>
      <c r="AW79" t="s">
        <v>147</v>
      </c>
      <c r="AX79" s="17">
        <v>45747</v>
      </c>
      <c r="AY79" t="s">
        <v>148</v>
      </c>
      <c r="AZ79" t="s">
        <v>329</v>
      </c>
      <c r="BA79" s="18">
        <f t="shared" si="4"/>
        <v>0</v>
      </c>
      <c r="BB79" s="18">
        <f t="shared" si="5"/>
        <v>2396224.84</v>
      </c>
    </row>
    <row r="80" spans="1:54" x14ac:dyDescent="0.25">
      <c r="A80" s="17">
        <v>45747</v>
      </c>
      <c r="B80" t="s">
        <v>258</v>
      </c>
      <c r="C80" t="s">
        <v>169</v>
      </c>
      <c r="D80" t="s">
        <v>177</v>
      </c>
      <c r="E80" t="s">
        <v>162</v>
      </c>
      <c r="F80" t="s">
        <v>216</v>
      </c>
      <c r="G80" t="s">
        <v>259</v>
      </c>
      <c r="H80" t="s">
        <v>137</v>
      </c>
      <c r="I80">
        <v>0.80940000000000001</v>
      </c>
      <c r="K80" s="17">
        <v>45530</v>
      </c>
      <c r="L80" s="17"/>
      <c r="M80" t="s">
        <v>186</v>
      </c>
      <c r="N80" t="s">
        <v>155</v>
      </c>
      <c r="O80" s="18">
        <v>1689253.63</v>
      </c>
      <c r="P80" s="18">
        <v>0</v>
      </c>
      <c r="Q80" s="18">
        <v>0</v>
      </c>
      <c r="R80" s="18">
        <v>0</v>
      </c>
      <c r="S80" s="18">
        <v>13262.63</v>
      </c>
      <c r="T80" s="18">
        <v>1702516.26</v>
      </c>
      <c r="U80" s="18">
        <v>0</v>
      </c>
      <c r="V80" s="18">
        <v>0</v>
      </c>
      <c r="W80" s="18">
        <v>1989.39</v>
      </c>
      <c r="X80" s="18">
        <v>0</v>
      </c>
      <c r="Y80" s="18">
        <v>1700526.87</v>
      </c>
      <c r="Z80">
        <v>7.8510000000000003E-3</v>
      </c>
      <c r="AA80">
        <v>0.80940000000000001</v>
      </c>
      <c r="AD80">
        <v>9.7000000000000003E-3</v>
      </c>
      <c r="AG80">
        <v>-1E-3</v>
      </c>
      <c r="AH80">
        <v>21</v>
      </c>
      <c r="AJ80" t="s">
        <v>187</v>
      </c>
      <c r="AK80" t="s">
        <v>141</v>
      </c>
      <c r="AL80">
        <v>0.15</v>
      </c>
      <c r="AM80" t="s">
        <v>141</v>
      </c>
      <c r="AN80" t="s">
        <v>141</v>
      </c>
      <c r="AO80" t="s">
        <v>197</v>
      </c>
      <c r="AP80" t="s">
        <v>162</v>
      </c>
      <c r="AQ80" t="s">
        <v>144</v>
      </c>
      <c r="AR80" t="s">
        <v>260</v>
      </c>
      <c r="AS80" t="s">
        <v>189</v>
      </c>
      <c r="AT80">
        <v>0</v>
      </c>
      <c r="AU80" t="s">
        <v>146</v>
      </c>
      <c r="AW80" t="s">
        <v>147</v>
      </c>
      <c r="AX80" s="17">
        <v>45747</v>
      </c>
      <c r="AY80" t="s">
        <v>148</v>
      </c>
      <c r="AZ80" t="s">
        <v>330</v>
      </c>
      <c r="BA80" s="18">
        <f t="shared" si="4"/>
        <v>0</v>
      </c>
      <c r="BB80" s="18">
        <f t="shared" si="5"/>
        <v>1695884.9449999998</v>
      </c>
    </row>
    <row r="81" spans="1:54" x14ac:dyDescent="0.25">
      <c r="A81" s="17">
        <v>45747</v>
      </c>
      <c r="B81" t="s">
        <v>262</v>
      </c>
      <c r="C81" t="s">
        <v>132</v>
      </c>
      <c r="D81" t="s">
        <v>133</v>
      </c>
      <c r="E81" t="s">
        <v>178</v>
      </c>
      <c r="F81" t="s">
        <v>171</v>
      </c>
      <c r="G81" t="s">
        <v>247</v>
      </c>
      <c r="H81" t="s">
        <v>137</v>
      </c>
      <c r="I81">
        <v>0.99119999999999997</v>
      </c>
      <c r="K81" s="17">
        <v>45488</v>
      </c>
      <c r="L81" s="17">
        <v>45982</v>
      </c>
      <c r="M81" t="s">
        <v>138</v>
      </c>
      <c r="N81" t="s">
        <v>155</v>
      </c>
      <c r="O81" s="18">
        <v>2004594.83</v>
      </c>
      <c r="P81" s="18">
        <v>0</v>
      </c>
      <c r="Q81" s="18">
        <v>0</v>
      </c>
      <c r="R81" s="18">
        <v>0</v>
      </c>
      <c r="S81" s="18">
        <v>19273.46</v>
      </c>
      <c r="T81" s="18">
        <v>2023868.29</v>
      </c>
      <c r="U81" s="18">
        <v>0</v>
      </c>
      <c r="V81" s="18">
        <v>0</v>
      </c>
      <c r="W81" s="18">
        <v>2891.02</v>
      </c>
      <c r="X81" s="18">
        <v>0</v>
      </c>
      <c r="Y81" s="18">
        <v>2020977.27</v>
      </c>
      <c r="Z81">
        <v>9.6150000000000003E-3</v>
      </c>
      <c r="AA81">
        <v>0.99119999999999997</v>
      </c>
      <c r="AD81">
        <v>9.7000000000000003E-3</v>
      </c>
      <c r="AG81">
        <v>-1E-3</v>
      </c>
      <c r="AH81">
        <v>21</v>
      </c>
      <c r="AI81">
        <v>235</v>
      </c>
      <c r="AJ81" t="s">
        <v>173</v>
      </c>
      <c r="AK81" t="s">
        <v>141</v>
      </c>
      <c r="AL81">
        <v>0.15</v>
      </c>
      <c r="AM81" t="s">
        <v>141</v>
      </c>
      <c r="AN81" t="s">
        <v>141</v>
      </c>
      <c r="AO81" t="s">
        <v>143</v>
      </c>
      <c r="AP81" t="s">
        <v>178</v>
      </c>
      <c r="AQ81" t="s">
        <v>144</v>
      </c>
      <c r="AR81" t="s">
        <v>263</v>
      </c>
      <c r="AS81" t="s">
        <v>138</v>
      </c>
      <c r="AT81">
        <v>0</v>
      </c>
      <c r="AU81" t="s">
        <v>146</v>
      </c>
      <c r="AW81" t="s">
        <v>147</v>
      </c>
      <c r="AX81" s="17">
        <v>45747</v>
      </c>
      <c r="AY81" t="s">
        <v>148</v>
      </c>
      <c r="AZ81" t="s">
        <v>331</v>
      </c>
      <c r="BA81" s="18">
        <f t="shared" si="4"/>
        <v>0</v>
      </c>
      <c r="BB81" s="18">
        <f t="shared" si="5"/>
        <v>2014231.56</v>
      </c>
    </row>
    <row r="82" spans="1:54" x14ac:dyDescent="0.25">
      <c r="A82" s="17">
        <v>45747</v>
      </c>
      <c r="B82" t="s">
        <v>265</v>
      </c>
      <c r="C82" t="s">
        <v>169</v>
      </c>
      <c r="D82" t="s">
        <v>215</v>
      </c>
      <c r="E82" t="s">
        <v>162</v>
      </c>
      <c r="F82" t="s">
        <v>135</v>
      </c>
      <c r="G82" t="s">
        <v>266</v>
      </c>
      <c r="H82" t="s">
        <v>137</v>
      </c>
      <c r="I82">
        <v>0.89949999999999997</v>
      </c>
      <c r="K82" s="17">
        <v>45389</v>
      </c>
      <c r="L82" s="17">
        <v>47335</v>
      </c>
      <c r="M82" t="s">
        <v>138</v>
      </c>
      <c r="N82" t="s">
        <v>139</v>
      </c>
      <c r="O82" s="18">
        <v>807428.6</v>
      </c>
      <c r="P82" s="18">
        <v>0</v>
      </c>
      <c r="Q82" s="18">
        <v>0</v>
      </c>
      <c r="R82" s="18">
        <v>0</v>
      </c>
      <c r="S82" s="18">
        <v>7044.94</v>
      </c>
      <c r="T82" s="18">
        <v>814473.54</v>
      </c>
      <c r="U82" s="18">
        <v>0</v>
      </c>
      <c r="V82" s="18">
        <v>0</v>
      </c>
      <c r="W82" s="18">
        <v>0</v>
      </c>
      <c r="X82" s="18">
        <v>0</v>
      </c>
      <c r="Y82" s="18">
        <v>814473.54</v>
      </c>
      <c r="Z82">
        <v>8.7250000000000001E-3</v>
      </c>
      <c r="AA82">
        <v>0.89949999999999997</v>
      </c>
      <c r="AD82">
        <v>9.7000000000000003E-3</v>
      </c>
      <c r="AG82">
        <v>-1E-3</v>
      </c>
      <c r="AH82">
        <v>21</v>
      </c>
      <c r="AI82">
        <v>1588</v>
      </c>
      <c r="AJ82" t="s">
        <v>140</v>
      </c>
      <c r="AK82" t="s">
        <v>141</v>
      </c>
      <c r="AL82">
        <v>0</v>
      </c>
      <c r="AM82" t="s">
        <v>142</v>
      </c>
      <c r="AN82" t="s">
        <v>142</v>
      </c>
      <c r="AO82" t="s">
        <v>197</v>
      </c>
      <c r="AP82" t="s">
        <v>162</v>
      </c>
      <c r="AQ82" t="s">
        <v>144</v>
      </c>
      <c r="AR82" t="s">
        <v>267</v>
      </c>
      <c r="AS82" t="s">
        <v>138</v>
      </c>
      <c r="AT82">
        <v>0</v>
      </c>
      <c r="AU82" t="s">
        <v>146</v>
      </c>
      <c r="AW82" t="s">
        <v>147</v>
      </c>
      <c r="AX82" s="17">
        <v>45747</v>
      </c>
      <c r="AY82" t="s">
        <v>148</v>
      </c>
      <c r="AZ82" t="s">
        <v>332</v>
      </c>
      <c r="BA82" s="18">
        <f t="shared" si="4"/>
        <v>0</v>
      </c>
      <c r="BB82" s="18">
        <f t="shared" si="5"/>
        <v>810951.07000000007</v>
      </c>
    </row>
    <row r="83" spans="1:54" x14ac:dyDescent="0.25">
      <c r="A83" s="17">
        <v>45747</v>
      </c>
      <c r="B83" t="s">
        <v>269</v>
      </c>
      <c r="C83" t="s">
        <v>151</v>
      </c>
      <c r="D83" t="s">
        <v>133</v>
      </c>
      <c r="E83" t="s">
        <v>178</v>
      </c>
      <c r="F83" t="s">
        <v>135</v>
      </c>
      <c r="G83" t="s">
        <v>179</v>
      </c>
      <c r="H83" t="s">
        <v>137</v>
      </c>
      <c r="I83">
        <v>0.94479999999999997</v>
      </c>
      <c r="K83" s="17">
        <v>45539</v>
      </c>
      <c r="L83" s="17">
        <v>45979</v>
      </c>
      <c r="M83" t="s">
        <v>138</v>
      </c>
      <c r="N83" t="s">
        <v>155</v>
      </c>
      <c r="O83" s="18">
        <v>1769123</v>
      </c>
      <c r="P83" s="18">
        <v>0</v>
      </c>
      <c r="Q83" s="18">
        <v>0</v>
      </c>
      <c r="R83" s="18">
        <v>0</v>
      </c>
      <c r="S83" s="18">
        <v>16213.23</v>
      </c>
      <c r="T83" s="18">
        <v>1785336.23</v>
      </c>
      <c r="U83" s="18">
        <v>0</v>
      </c>
      <c r="V83" s="18">
        <v>0</v>
      </c>
      <c r="W83" s="18">
        <v>0</v>
      </c>
      <c r="X83" s="18">
        <v>0</v>
      </c>
      <c r="Y83" s="18">
        <v>1785336.23</v>
      </c>
      <c r="Z83">
        <v>9.1649999999999995E-3</v>
      </c>
      <c r="AA83">
        <v>0.94479999999999997</v>
      </c>
      <c r="AD83">
        <v>9.7000000000000003E-3</v>
      </c>
      <c r="AG83">
        <v>-1E-3</v>
      </c>
      <c r="AH83">
        <v>21</v>
      </c>
      <c r="AI83">
        <v>232</v>
      </c>
      <c r="AJ83" t="s">
        <v>173</v>
      </c>
      <c r="AK83" t="s">
        <v>141</v>
      </c>
      <c r="AL83">
        <v>0</v>
      </c>
      <c r="AM83" t="s">
        <v>142</v>
      </c>
      <c r="AN83" t="s">
        <v>142</v>
      </c>
      <c r="AO83" t="s">
        <v>197</v>
      </c>
      <c r="AP83" t="s">
        <v>178</v>
      </c>
      <c r="AQ83" t="s">
        <v>144</v>
      </c>
      <c r="AR83" t="s">
        <v>270</v>
      </c>
      <c r="AS83" t="s">
        <v>138</v>
      </c>
      <c r="AT83">
        <v>0</v>
      </c>
      <c r="AU83" t="s">
        <v>146</v>
      </c>
      <c r="AW83" t="s">
        <v>147</v>
      </c>
      <c r="AX83" s="17">
        <v>45747</v>
      </c>
      <c r="AY83" t="s">
        <v>148</v>
      </c>
      <c r="AZ83" t="s">
        <v>333</v>
      </c>
      <c r="BA83" s="18">
        <f t="shared" si="4"/>
        <v>0</v>
      </c>
      <c r="BB83" s="18">
        <f t="shared" si="5"/>
        <v>1777229.615</v>
      </c>
    </row>
    <row r="84" spans="1:54" x14ac:dyDescent="0.25">
      <c r="A84" s="17">
        <v>45747</v>
      </c>
      <c r="B84" t="s">
        <v>272</v>
      </c>
      <c r="C84" t="s">
        <v>151</v>
      </c>
      <c r="D84" t="s">
        <v>161</v>
      </c>
      <c r="E84" t="s">
        <v>178</v>
      </c>
      <c r="F84" t="s">
        <v>242</v>
      </c>
      <c r="G84" t="s">
        <v>273</v>
      </c>
      <c r="H84" t="s">
        <v>137</v>
      </c>
      <c r="I84">
        <v>0.87019999999999997</v>
      </c>
      <c r="K84" s="17">
        <v>45520</v>
      </c>
      <c r="L84" s="17">
        <v>46205</v>
      </c>
      <c r="M84" t="s">
        <v>138</v>
      </c>
      <c r="N84" t="s">
        <v>139</v>
      </c>
      <c r="O84" s="18">
        <v>1022625.73</v>
      </c>
      <c r="P84" s="18">
        <v>0</v>
      </c>
      <c r="Q84" s="18">
        <v>0</v>
      </c>
      <c r="R84" s="18">
        <v>0</v>
      </c>
      <c r="S84" s="18">
        <v>8631.92</v>
      </c>
      <c r="T84" s="18">
        <v>1031257.65</v>
      </c>
      <c r="U84" s="18">
        <v>0</v>
      </c>
      <c r="V84" s="18">
        <v>0</v>
      </c>
      <c r="W84" s="18">
        <v>0</v>
      </c>
      <c r="X84" s="18">
        <v>0</v>
      </c>
      <c r="Y84" s="18">
        <v>1031257.65</v>
      </c>
      <c r="Z84">
        <v>8.4410000000000006E-3</v>
      </c>
      <c r="AA84">
        <v>0.87019999999999997</v>
      </c>
      <c r="AD84">
        <v>9.7000000000000003E-3</v>
      </c>
      <c r="AG84">
        <v>-1E-3</v>
      </c>
      <c r="AH84">
        <v>21</v>
      </c>
      <c r="AI84">
        <v>458</v>
      </c>
      <c r="AJ84" t="s">
        <v>140</v>
      </c>
      <c r="AK84" t="s">
        <v>141</v>
      </c>
      <c r="AL84">
        <v>0</v>
      </c>
      <c r="AM84" t="s">
        <v>142</v>
      </c>
      <c r="AN84" t="s">
        <v>142</v>
      </c>
      <c r="AO84" t="s">
        <v>157</v>
      </c>
      <c r="AP84" t="s">
        <v>178</v>
      </c>
      <c r="AQ84" t="s">
        <v>144</v>
      </c>
      <c r="AR84" t="s">
        <v>274</v>
      </c>
      <c r="AS84" t="s">
        <v>138</v>
      </c>
      <c r="AT84">
        <v>0</v>
      </c>
      <c r="AU84" t="s">
        <v>146</v>
      </c>
      <c r="AW84" t="s">
        <v>147</v>
      </c>
      <c r="AX84" s="17">
        <v>45747</v>
      </c>
      <c r="AY84" t="s">
        <v>148</v>
      </c>
      <c r="AZ84" t="s">
        <v>334</v>
      </c>
      <c r="BA84" s="18">
        <f t="shared" si="4"/>
        <v>0</v>
      </c>
      <c r="BB84" s="18">
        <f t="shared" si="5"/>
        <v>1026941.69</v>
      </c>
    </row>
    <row r="85" spans="1:54" x14ac:dyDescent="0.25">
      <c r="A85" s="17">
        <v>45747</v>
      </c>
      <c r="B85" t="s">
        <v>276</v>
      </c>
      <c r="C85" t="s">
        <v>132</v>
      </c>
      <c r="D85" t="s">
        <v>152</v>
      </c>
      <c r="E85" t="s">
        <v>183</v>
      </c>
      <c r="F85" t="s">
        <v>216</v>
      </c>
      <c r="G85" t="s">
        <v>277</v>
      </c>
      <c r="H85" t="s">
        <v>137</v>
      </c>
      <c r="I85">
        <v>0.86619999999999997</v>
      </c>
      <c r="K85" s="17">
        <v>45496</v>
      </c>
      <c r="L85" s="17"/>
      <c r="M85" t="s">
        <v>186</v>
      </c>
      <c r="N85" t="s">
        <v>155</v>
      </c>
      <c r="O85" s="18">
        <v>879090.85</v>
      </c>
      <c r="P85" s="18">
        <v>0</v>
      </c>
      <c r="Q85" s="18">
        <v>0</v>
      </c>
      <c r="R85" s="18">
        <v>0</v>
      </c>
      <c r="S85" s="18">
        <v>7386.24</v>
      </c>
      <c r="T85" s="18">
        <v>886477.09</v>
      </c>
      <c r="U85" s="18">
        <v>0</v>
      </c>
      <c r="V85" s="18">
        <v>0</v>
      </c>
      <c r="W85" s="18">
        <v>1107.94</v>
      </c>
      <c r="X85" s="18">
        <v>0</v>
      </c>
      <c r="Y85" s="18">
        <v>885369.15</v>
      </c>
      <c r="Z85">
        <v>8.4019999999999997E-3</v>
      </c>
      <c r="AA85">
        <v>0.86619999999999997</v>
      </c>
      <c r="AD85">
        <v>9.7000000000000003E-3</v>
      </c>
      <c r="AG85">
        <v>-1E-3</v>
      </c>
      <c r="AH85">
        <v>21</v>
      </c>
      <c r="AJ85" t="s">
        <v>187</v>
      </c>
      <c r="AK85" t="s">
        <v>141</v>
      </c>
      <c r="AL85">
        <v>0.15</v>
      </c>
      <c r="AM85" t="s">
        <v>141</v>
      </c>
      <c r="AN85" t="s">
        <v>141</v>
      </c>
      <c r="AO85" t="s">
        <v>157</v>
      </c>
      <c r="AP85" t="s">
        <v>183</v>
      </c>
      <c r="AQ85" t="s">
        <v>144</v>
      </c>
      <c r="AR85" t="s">
        <v>278</v>
      </c>
      <c r="AS85" t="s">
        <v>189</v>
      </c>
      <c r="AT85">
        <v>0</v>
      </c>
      <c r="AU85" t="s">
        <v>146</v>
      </c>
      <c r="AW85" t="s">
        <v>147</v>
      </c>
      <c r="AX85" s="17">
        <v>45747</v>
      </c>
      <c r="AY85" t="s">
        <v>148</v>
      </c>
      <c r="AZ85" t="s">
        <v>335</v>
      </c>
      <c r="BA85" s="18">
        <f t="shared" si="4"/>
        <v>0</v>
      </c>
      <c r="BB85" s="18">
        <f t="shared" si="5"/>
        <v>882783.97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70" customWidth="1"/>
  </cols>
  <sheetData>
    <row r="1" spans="1:3" ht="20.25" x14ac:dyDescent="0.3">
      <c r="A1" s="1" t="s">
        <v>336</v>
      </c>
    </row>
    <row r="3" spans="1:3" x14ac:dyDescent="0.25">
      <c r="A3" s="2" t="s">
        <v>15</v>
      </c>
      <c r="B3" s="19">
        <v>45747</v>
      </c>
      <c r="C3" s="20" t="s">
        <v>337</v>
      </c>
    </row>
    <row r="4" spans="1:3" x14ac:dyDescent="0.25">
      <c r="A4" s="2" t="s">
        <v>338</v>
      </c>
      <c r="B4" s="21">
        <v>0.3</v>
      </c>
      <c r="C4" s="20" t="s">
        <v>339</v>
      </c>
    </row>
    <row r="5" spans="1:3" x14ac:dyDescent="0.25">
      <c r="A5" s="2" t="s">
        <v>340</v>
      </c>
      <c r="B5" s="21">
        <v>1</v>
      </c>
      <c r="C5" s="20" t="s">
        <v>341</v>
      </c>
    </row>
    <row r="6" spans="1:3" x14ac:dyDescent="0.25">
      <c r="A6" s="2" t="s">
        <v>342</v>
      </c>
      <c r="B6" s="22">
        <v>1</v>
      </c>
      <c r="C6" s="20" t="s">
        <v>343</v>
      </c>
    </row>
    <row r="7" spans="1:3" x14ac:dyDescent="0.25">
      <c r="A7" s="2" t="s">
        <v>344</v>
      </c>
      <c r="B7" s="23"/>
      <c r="C7" s="20" t="s">
        <v>345</v>
      </c>
    </row>
    <row r="8" spans="1:3" x14ac:dyDescent="0.25">
      <c r="A8" s="2" t="s">
        <v>346</v>
      </c>
      <c r="B8" s="23" t="s">
        <v>347</v>
      </c>
      <c r="C8" s="20" t="s">
        <v>348</v>
      </c>
    </row>
    <row r="9" spans="1:3" x14ac:dyDescent="0.25">
      <c r="A9" s="2" t="s">
        <v>349</v>
      </c>
      <c r="B9" s="17">
        <f>EOMONTH(B3,-1)</f>
        <v>45716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/>
  </sheetViews>
  <sheetFormatPr defaultRowHeight="15" x14ac:dyDescent="0.25"/>
  <cols>
    <col min="1" max="1" width="28" customWidth="1"/>
    <col min="3" max="3" width="28" customWidth="1"/>
    <col min="5" max="5" width="28" customWidth="1"/>
    <col min="7" max="7" width="14" customWidth="1"/>
  </cols>
  <sheetData>
    <row r="1" spans="1:9" x14ac:dyDescent="0.25">
      <c r="A1" t="s">
        <v>84</v>
      </c>
      <c r="C1" t="s">
        <v>47</v>
      </c>
      <c r="E1" t="s">
        <v>36</v>
      </c>
      <c r="G1" t="s">
        <v>350</v>
      </c>
      <c r="I1" s="24" t="s">
        <v>351</v>
      </c>
    </row>
    <row r="2" spans="1:9" x14ac:dyDescent="0.25">
      <c r="A2" t="s">
        <v>134</v>
      </c>
      <c r="C2" t="s">
        <v>201</v>
      </c>
      <c r="E2" t="s">
        <v>151</v>
      </c>
      <c r="G2" s="25">
        <v>45688</v>
      </c>
    </row>
    <row r="3" spans="1:9" x14ac:dyDescent="0.25">
      <c r="A3" t="s">
        <v>162</v>
      </c>
      <c r="C3" t="s">
        <v>135</v>
      </c>
      <c r="E3" t="s">
        <v>169</v>
      </c>
      <c r="G3" s="25">
        <v>45716</v>
      </c>
    </row>
    <row r="4" spans="1:9" x14ac:dyDescent="0.25">
      <c r="A4" t="s">
        <v>183</v>
      </c>
      <c r="C4" t="s">
        <v>242</v>
      </c>
      <c r="E4" t="s">
        <v>132</v>
      </c>
      <c r="G4" s="25">
        <v>45747</v>
      </c>
    </row>
    <row r="5" spans="1:9" x14ac:dyDescent="0.25">
      <c r="A5" t="s">
        <v>178</v>
      </c>
      <c r="C5" t="s">
        <v>184</v>
      </c>
    </row>
    <row r="6" spans="1:9" x14ac:dyDescent="0.25">
      <c r="A6" t="s">
        <v>153</v>
      </c>
      <c r="C6" t="s">
        <v>210</v>
      </c>
    </row>
    <row r="7" spans="1:9" x14ac:dyDescent="0.25">
      <c r="C7" t="s">
        <v>171</v>
      </c>
    </row>
    <row r="8" spans="1:9" x14ac:dyDescent="0.25">
      <c r="C8" t="s">
        <v>163</v>
      </c>
    </row>
    <row r="9" spans="1:9" x14ac:dyDescent="0.25">
      <c r="C9" t="s">
        <v>216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/>
  </sheetViews>
  <sheetFormatPr defaultRowHeight="15" x14ac:dyDescent="0.25"/>
  <cols>
    <col min="1" max="3" width="12" customWidth="1"/>
    <col min="4" max="4" width="20" customWidth="1"/>
  </cols>
  <sheetData>
    <row r="1" spans="1:6" x14ac:dyDescent="0.25">
      <c r="A1" t="s">
        <v>350</v>
      </c>
      <c r="B1" t="s">
        <v>107</v>
      </c>
      <c r="C1" t="s">
        <v>110</v>
      </c>
      <c r="D1" t="s">
        <v>352</v>
      </c>
      <c r="F1" s="24" t="s">
        <v>353</v>
      </c>
    </row>
    <row r="2" spans="1:6" x14ac:dyDescent="0.25">
      <c r="A2" s="25">
        <v>45688</v>
      </c>
      <c r="B2" s="26">
        <v>9.4999999999999998E-3</v>
      </c>
      <c r="C2" s="26">
        <v>3.0000000000000001E-3</v>
      </c>
      <c r="D2" s="17">
        <v>45688</v>
      </c>
    </row>
    <row r="3" spans="1:6" x14ac:dyDescent="0.25">
      <c r="A3" s="25">
        <v>45716</v>
      </c>
      <c r="B3" s="26">
        <v>8.8000000000000005E-3</v>
      </c>
      <c r="C3" s="26">
        <v>4.4999999999999997E-3</v>
      </c>
      <c r="D3" s="17">
        <v>45716</v>
      </c>
    </row>
    <row r="4" spans="1:6" x14ac:dyDescent="0.25">
      <c r="A4" s="25">
        <v>45747</v>
      </c>
      <c r="B4" s="26">
        <v>9.7000000000000003E-3</v>
      </c>
      <c r="C4" s="26">
        <v>-1E-3</v>
      </c>
      <c r="D4" s="17">
        <v>45747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defaultRowHeight="15" x14ac:dyDescent="0.25"/>
  <cols>
    <col min="1" max="1" width="18" customWidth="1"/>
    <col min="2" max="2" width="14" customWidth="1"/>
    <col min="3" max="3" width="44" customWidth="1"/>
    <col min="4" max="4" width="10" customWidth="1"/>
    <col min="5" max="5" width="8" customWidth="1"/>
    <col min="6" max="6" width="18" customWidth="1"/>
    <col min="7" max="7" width="60" customWidth="1"/>
  </cols>
  <sheetData>
    <row r="1" spans="1:7" x14ac:dyDescent="0.25">
      <c r="A1" t="s">
        <v>354</v>
      </c>
      <c r="B1" t="s">
        <v>355</v>
      </c>
      <c r="C1" t="s">
        <v>356</v>
      </c>
      <c r="D1" t="s">
        <v>357</v>
      </c>
      <c r="E1" t="s">
        <v>358</v>
      </c>
      <c r="F1" t="s">
        <v>352</v>
      </c>
      <c r="G1" t="s">
        <v>125</v>
      </c>
    </row>
    <row r="2" spans="1:7" x14ac:dyDescent="0.25">
      <c r="B2" t="s">
        <v>359</v>
      </c>
      <c r="C2" t="s">
        <v>360</v>
      </c>
      <c r="D2" s="25">
        <v>45747</v>
      </c>
      <c r="E2">
        <v>84</v>
      </c>
      <c r="G2" t="s">
        <v>361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35</vt:i4>
      </vt:variant>
    </vt:vector>
  </HeadingPairs>
  <TitlesOfParts>
    <vt:vector size="43" baseType="lpstr">
      <vt:lpstr>LEIAME</vt:lpstr>
      <vt:lpstr>Resumo</vt:lpstr>
      <vt:lpstr>Conferencias</vt:lpstr>
      <vt:lpstr>Base</vt:lpstr>
      <vt:lpstr>Config</vt:lpstr>
      <vt:lpstr>Cadastros</vt:lpstr>
      <vt:lpstr>Indicadores</vt:lpstr>
      <vt:lpstr>Log</vt:lpstr>
      <vt:lpstr>Conferencias!Area_de_impressao</vt:lpstr>
      <vt:lpstr>Resumo!Area_de_impressao</vt:lpstr>
      <vt:lpstr>cad_Fontes</vt:lpstr>
      <vt:lpstr>cad_Inst</vt:lpstr>
      <vt:lpstr>cad_Meses</vt:lpstr>
      <vt:lpstr>cad_Mod</vt:lpstr>
      <vt:lpstr>col_Ap</vt:lpstr>
      <vt:lpstr>col_Data</vt:lpstr>
      <vt:lpstr>col_Fonte</vt:lpstr>
      <vt:lpstr>col_ID</vt:lpstr>
      <vt:lpstr>col_Inst</vt:lpstr>
      <vt:lpstr>col_IOFR</vt:lpstr>
      <vt:lpstr>col_IRP</vt:lpstr>
      <vt:lpstr>col_IRR</vt:lpstr>
      <vt:lpstr>col_Jur</vt:lpstr>
      <vt:lpstr>col_Mod</vt:lpstr>
      <vt:lpstr>col_Mov</vt:lpstr>
      <vt:lpstr>col_Rend</vt:lpstr>
      <vt:lpstr>col_Res</vt:lpstr>
      <vt:lpstr>col_SA</vt:lpstr>
      <vt:lpstr>col_SF</vt:lpstr>
      <vt:lpstr>col_SMed</vt:lpstr>
      <vt:lpstr>ind_CDI</vt:lpstr>
      <vt:lpstr>ind_IPCA</vt:lpstr>
      <vt:lpstr>ind_Mes</vt:lpstr>
      <vt:lpstr>ind_Orig</vt:lpstr>
      <vt:lpstr>LimiteConc</vt:lpstr>
      <vt:lpstr>MesAnt</vt:lpstr>
      <vt:lpstr>MesRef</vt:lpstr>
      <vt:lpstr>MetaCDI</vt:lpstr>
      <vt:lpstr>PastaPDF</vt:lpstr>
      <vt:lpstr>QtdAlertas</vt:lpstr>
      <vt:lpstr>QtdErros</vt:lpstr>
      <vt:lpstr>StatusRelatorio</vt:lpstr>
      <vt:lpstr>TolContinuidade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Modelo de exemplo</dc:creator>
  <cp:lastModifiedBy>Beatriz Ayumi Tamura Lehmann</cp:lastModifiedBy>
  <dcterms:created xsi:type="dcterms:W3CDTF">2026-09-23T20:13:47Z</dcterms:created>
  <dcterms:modified xsi:type="dcterms:W3CDTF">2026-09-23T20:21:10Z</dcterms:modified>
</cp:coreProperties>
</file>